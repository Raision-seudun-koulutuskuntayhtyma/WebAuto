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kaVainio.STARASOFT\Documents\GitHub\WebAuto\docs\"/>
    </mc:Choice>
  </mc:AlternateContent>
  <bookViews>
    <workbookView xWindow="-105" yWindow="-105" windowWidth="28995" windowHeight="15675" activeTab="3"/>
  </bookViews>
  <sheets>
    <sheet name="23" sheetId="3" r:id="rId1"/>
    <sheet name="24" sheetId="1" r:id="rId2"/>
    <sheet name="25" sheetId="2" r:id="rId3"/>
    <sheet name="ModifiedTransit" sheetId="4" r:id="rId4"/>
    <sheet name="Sheet2" sheetId="5" r:id="rId5"/>
  </sheets>
  <definedNames>
    <definedName name="__bookmark_1" localSheetId="0">'23'!$A$3:$M$143</definedName>
    <definedName name="__bookmark_1" localSheetId="2">'25'!$A$1:$M$22</definedName>
    <definedName name="__bookmark_1">'24'!$A$1:$O$492</definedName>
  </definedNames>
  <calcPr calcId="162913"/>
  <fileRecoveryPr repairLoad="1"/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N2" i="2"/>
  <c r="R2" i="2" s="1"/>
  <c r="N3" i="2"/>
  <c r="R3" i="2" s="1"/>
  <c r="N4" i="2"/>
  <c r="R4" i="2" s="1"/>
  <c r="N5" i="2"/>
  <c r="R5" i="2" s="1"/>
  <c r="N6" i="2"/>
  <c r="R6" i="2" s="1"/>
  <c r="N7" i="2"/>
  <c r="R7" i="2" s="1"/>
  <c r="N8" i="2"/>
  <c r="R8" i="2" s="1"/>
  <c r="N9" i="2"/>
  <c r="R9" i="2" s="1"/>
  <c r="N10" i="2"/>
  <c r="R10" i="2" s="1"/>
  <c r="N11" i="2"/>
  <c r="R11" i="2" s="1"/>
  <c r="N12" i="2"/>
  <c r="R12" i="2" s="1"/>
  <c r="N13" i="2"/>
  <c r="R13" i="2" s="1"/>
  <c r="N14" i="2"/>
  <c r="R14" i="2" s="1"/>
  <c r="N15" i="2"/>
  <c r="R15" i="2" s="1"/>
  <c r="N16" i="2"/>
  <c r="R16" i="2" s="1"/>
  <c r="N17" i="2"/>
  <c r="R17" i="2" s="1"/>
  <c r="N18" i="2"/>
  <c r="R18" i="2" s="1"/>
  <c r="N19" i="2"/>
  <c r="R19" i="2" s="1"/>
  <c r="N20" i="2"/>
  <c r="R20" i="2" s="1"/>
  <c r="N21" i="2"/>
  <c r="R21" i="2" s="1"/>
  <c r="N22" i="2"/>
  <c r="R22" i="2" s="1"/>
  <c r="T11" i="2" l="1"/>
  <c r="T15" i="2"/>
  <c r="T3" i="2"/>
  <c r="T22" i="2"/>
  <c r="T10" i="2"/>
  <c r="T5" i="2"/>
  <c r="T17" i="2"/>
  <c r="T16" i="2"/>
  <c r="T4" i="2"/>
  <c r="T12" i="2"/>
  <c r="T9" i="2"/>
  <c r="T20" i="2"/>
  <c r="T8" i="2"/>
  <c r="T19" i="2"/>
  <c r="T7" i="2"/>
  <c r="T18" i="2"/>
  <c r="T6" i="2"/>
  <c r="T14" i="2"/>
  <c r="T2" i="2"/>
  <c r="T21" i="2"/>
  <c r="T13" i="2"/>
  <c r="S9" i="2"/>
  <c r="S16" i="2"/>
  <c r="S4" i="2"/>
  <c r="S15" i="2"/>
  <c r="S3" i="2"/>
  <c r="S17" i="2"/>
  <c r="S14" i="2"/>
  <c r="S2" i="2"/>
  <c r="S5" i="2"/>
  <c r="S13" i="2"/>
  <c r="S12" i="2"/>
  <c r="S11" i="2"/>
  <c r="S22" i="2"/>
  <c r="S10" i="2"/>
  <c r="S20" i="2"/>
  <c r="S8" i="2"/>
  <c r="S19" i="2"/>
  <c r="S7" i="2"/>
  <c r="S21" i="2"/>
  <c r="S18" i="2"/>
  <c r="S6" i="2"/>
</calcChain>
</file>

<file path=xl/sharedStrings.xml><?xml version="1.0" encoding="utf-8"?>
<sst xmlns="http://schemas.openxmlformats.org/spreadsheetml/2006/main" count="6314" uniqueCount="1727">
  <si>
    <t>Ajopäiväkirja: FNK-129</t>
  </si>
  <si>
    <t>1.1.2023 00:00 - 31.12.2023 23:59</t>
  </si>
  <si>
    <t>Matka alkoi</t>
  </si>
  <si>
    <t>Matka loppui</t>
  </si>
  <si>
    <t>Matkatieto</t>
  </si>
  <si>
    <t>Pvm</t>
  </si>
  <si>
    <t>Aika</t>
  </si>
  <si>
    <t>Osoite</t>
  </si>
  <si>
    <t>Matkamittari</t>
  </si>
  <si>
    <t>km</t>
  </si>
  <si>
    <t>CO2/kg</t>
  </si>
  <si>
    <t>Ajo</t>
  </si>
  <si>
    <t>Paikallaan</t>
  </si>
  <si>
    <t>FNK-129</t>
  </si>
  <si>
    <t>Ei valittu</t>
  </si>
  <si>
    <t>4.10.2023</t>
  </si>
  <si>
    <t>10:33</t>
  </si>
  <si>
    <t>EK3, Eeronkuja 3, 21200 Raisio, FIN</t>
  </si>
  <si>
    <t>10:37</t>
  </si>
  <si>
    <t>Juhaninkuja 3, 21200 Raisio, FIN</t>
  </si>
  <si>
    <t>0:03:49</t>
  </si>
  <si>
    <t>0:08:13</t>
  </si>
  <si>
    <t>10:45</t>
  </si>
  <si>
    <t>10:48</t>
  </si>
  <si>
    <t>0:03:45</t>
  </si>
  <si>
    <t>218:10:35</t>
  </si>
  <si>
    <t>13.10.2023</t>
  </si>
  <si>
    <t>12:59</t>
  </si>
  <si>
    <t>13:04</t>
  </si>
  <si>
    <t>Kirkkoväärtinkuja 2, 21200 Raisio, FIN</t>
  </si>
  <si>
    <t>0:04:44</t>
  </si>
  <si>
    <t>0:00:48</t>
  </si>
  <si>
    <t>13:05</t>
  </si>
  <si>
    <t>13:11</t>
  </si>
  <si>
    <t>0:06:33</t>
  </si>
  <si>
    <t>259:15:02</t>
  </si>
  <si>
    <t>24.10.2023</t>
  </si>
  <si>
    <t>8:26</t>
  </si>
  <si>
    <t>8:38</t>
  </si>
  <si>
    <t>Nuppulantie 29, 20320 Turku, FIN</t>
  </si>
  <si>
    <t>0:12:01</t>
  </si>
  <si>
    <t>0:02:17</t>
  </si>
  <si>
    <t>8:41</t>
  </si>
  <si>
    <t>Nuppulantie 30, 20320 Turku, FIN</t>
  </si>
  <si>
    <t>8:57</t>
  </si>
  <si>
    <t>EK3, Käpsänkatu 6, 21200 Raisio, FIN</t>
  </si>
  <si>
    <t>0:16:31</t>
  </si>
  <si>
    <t>0:50:08</t>
  </si>
  <si>
    <t>9:47</t>
  </si>
  <si>
    <t>10:02</t>
  </si>
  <si>
    <t>Ruopankatu 8, 20360 Turku, FIN</t>
  </si>
  <si>
    <t>0:14:54</t>
  </si>
  <si>
    <t>0:40:58</t>
  </si>
  <si>
    <t>10:43</t>
  </si>
  <si>
    <t>10:50</t>
  </si>
  <si>
    <t>Suolakankareenkatu 26, 20360 Turku, FIN</t>
  </si>
  <si>
    <t>0:07:10</t>
  </si>
  <si>
    <t>0:08:50</t>
  </si>
  <si>
    <t>10:59</t>
  </si>
  <si>
    <t>11:13</t>
  </si>
  <si>
    <t>0:14:12</t>
  </si>
  <si>
    <t>22:36:18</t>
  </si>
  <si>
    <t>25.10.2023</t>
  </si>
  <si>
    <t>9:50</t>
  </si>
  <si>
    <t>9:53</t>
  </si>
  <si>
    <t>0:03:29</t>
  </si>
  <si>
    <t>0:13:54</t>
  </si>
  <si>
    <t>10:07</t>
  </si>
  <si>
    <t>10:16</t>
  </si>
  <si>
    <t>Allastie 1, 21200 Raisio, FIN</t>
  </si>
  <si>
    <t>0:09:10</t>
  </si>
  <si>
    <t>0:00:09</t>
  </si>
  <si>
    <t>10:20</t>
  </si>
  <si>
    <t>Vesilaitoksentie 2, 21200 Raisio, FIN</t>
  </si>
  <si>
    <t>0:03:46</t>
  </si>
  <si>
    <t>10:24</t>
  </si>
  <si>
    <t>10:29</t>
  </si>
  <si>
    <t>0:05:12</t>
  </si>
  <si>
    <t>0:00:44</t>
  </si>
  <si>
    <t>10:30</t>
  </si>
  <si>
    <t>10:34</t>
  </si>
  <si>
    <t>0:04:42</t>
  </si>
  <si>
    <t>1:30:54</t>
  </si>
  <si>
    <t>12:05</t>
  </si>
  <si>
    <t>12:16</t>
  </si>
  <si>
    <t>Kuninkaanväylä 35a, 20320 Raisio, FIN</t>
  </si>
  <si>
    <t>0:10:32</t>
  </si>
  <si>
    <t>0:01:30</t>
  </si>
  <si>
    <t>12:17</t>
  </si>
  <si>
    <t>12:27</t>
  </si>
  <si>
    <t>0:09:45</t>
  </si>
  <si>
    <t>0:02:45</t>
  </si>
  <si>
    <t>12:30</t>
  </si>
  <si>
    <t>12:41</t>
  </si>
  <si>
    <t>0:11:16</t>
  </si>
  <si>
    <t>0:01:08</t>
  </si>
  <si>
    <t>12:42</t>
  </si>
  <si>
    <t>12:52</t>
  </si>
  <si>
    <t>0:10:15</t>
  </si>
  <si>
    <t>20:45:55</t>
  </si>
  <si>
    <t>26.10.2023</t>
  </si>
  <si>
    <t>9:38</t>
  </si>
  <si>
    <t>0:15:02</t>
  </si>
  <si>
    <t>0:08:02</t>
  </si>
  <si>
    <t>10:01</t>
  </si>
  <si>
    <t>10:25</t>
  </si>
  <si>
    <t>0:23:35</t>
  </si>
  <si>
    <t>1:55:39</t>
  </si>
  <si>
    <t>12:21</t>
  </si>
  <si>
    <t>12:36</t>
  </si>
  <si>
    <t>Rieskalähteentie 89, 20300 Turku, FIN</t>
  </si>
  <si>
    <t>0:15:30</t>
  </si>
  <si>
    <t>0:08:58</t>
  </si>
  <si>
    <t>12:45</t>
  </si>
  <si>
    <t>12:58</t>
  </si>
  <si>
    <t>0:12:37</t>
  </si>
  <si>
    <t>93:39:24</t>
  </si>
  <si>
    <t>30.10.2023</t>
  </si>
  <si>
    <t>9:37</t>
  </si>
  <si>
    <t>10:22</t>
  </si>
  <si>
    <t>0:44:47</t>
  </si>
  <si>
    <t>0:23:20</t>
  </si>
  <si>
    <t>10:55</t>
  </si>
  <si>
    <t>Allastie 2, 21200 Raisio, FIN</t>
  </si>
  <si>
    <t>0:09:12</t>
  </si>
  <si>
    <t>0:02:43</t>
  </si>
  <si>
    <t>10:57</t>
  </si>
  <si>
    <t>11:07</t>
  </si>
  <si>
    <t>0:10:08</t>
  </si>
  <si>
    <t>1:47:13</t>
  </si>
  <si>
    <t>12:55</t>
  </si>
  <si>
    <t>13:09</t>
  </si>
  <si>
    <t>0:14:22</t>
  </si>
  <si>
    <t>0:10:51</t>
  </si>
  <si>
    <t>13:20</t>
  </si>
  <si>
    <t>13:40</t>
  </si>
  <si>
    <t>0:20:03</t>
  </si>
  <si>
    <t>0:06:20</t>
  </si>
  <si>
    <t>13:46</t>
  </si>
  <si>
    <t>13:54</t>
  </si>
  <si>
    <t>Haunistentie 15, 21280 Raisio, FIN</t>
  </si>
  <si>
    <t>0:07:47</t>
  </si>
  <si>
    <t>0:05:28</t>
  </si>
  <si>
    <t>13:59</t>
  </si>
  <si>
    <t>14:04</t>
  </si>
  <si>
    <t>0:04:21</t>
  </si>
  <si>
    <t>14:08</t>
  </si>
  <si>
    <t>14:17</t>
  </si>
  <si>
    <t>0:08:23</t>
  </si>
  <si>
    <t>19:21:58</t>
  </si>
  <si>
    <t>31.10.2023</t>
  </si>
  <si>
    <t>9:39</t>
  </si>
  <si>
    <t>9:59</t>
  </si>
  <si>
    <t>0:19:53</t>
  </si>
  <si>
    <t>0:37:08</t>
  </si>
  <si>
    <t>10:36</t>
  </si>
  <si>
    <t>10:41</t>
  </si>
  <si>
    <t>0:05:36</t>
  </si>
  <si>
    <t>1:51:33</t>
  </si>
  <si>
    <t>12:33</t>
  </si>
  <si>
    <t>Voudinkatu 11, 21200 Raisio, FIN</t>
  </si>
  <si>
    <t>0:08:49</t>
  </si>
  <si>
    <t>0:01:27</t>
  </si>
  <si>
    <t>12:43</t>
  </si>
  <si>
    <t>12:54</t>
  </si>
  <si>
    <t>20:29:13</t>
  </si>
  <si>
    <t>1.11.2023</t>
  </si>
  <si>
    <t>9:23</t>
  </si>
  <si>
    <t>Orikedonkatu 5, 20380 Turku, FIN</t>
  </si>
  <si>
    <t>0:13:44</t>
  </si>
  <si>
    <t>0:23:57</t>
  </si>
  <si>
    <t>10:11</t>
  </si>
  <si>
    <t>0:09:44</t>
  </si>
  <si>
    <t>0:04:48</t>
  </si>
  <si>
    <t>10:23</t>
  </si>
  <si>
    <t>0:07:02</t>
  </si>
  <si>
    <t>0:07:05</t>
  </si>
  <si>
    <t>Tammimäenkatu 2, 20320 Raisio, FIN</t>
  </si>
  <si>
    <t>0:03:03</t>
  </si>
  <si>
    <t>0:01:26</t>
  </si>
  <si>
    <t>10:44</t>
  </si>
  <si>
    <t>0:09:40</t>
  </si>
  <si>
    <t>0:02:42</t>
  </si>
  <si>
    <t>10:47</t>
  </si>
  <si>
    <t>0:03:43</t>
  </si>
  <si>
    <t>1:26:22</t>
  </si>
  <si>
    <t>12:24</t>
  </si>
  <si>
    <t>0:06:57</t>
  </si>
  <si>
    <t>12:38</t>
  </si>
  <si>
    <t>0:07:35</t>
  </si>
  <si>
    <t>21:28:15</t>
  </si>
  <si>
    <t>2.11.2023</t>
  </si>
  <si>
    <t>10:06</t>
  </si>
  <si>
    <t>Ravurinkatu 7, 20380 Turku, FIN</t>
  </si>
  <si>
    <t>0:15:56</t>
  </si>
  <si>
    <t>0:02:03</t>
  </si>
  <si>
    <t>10:40</t>
  </si>
  <si>
    <t>0:15:32</t>
  </si>
  <si>
    <t>93:48:03</t>
  </si>
  <si>
    <t>6.11.2023</t>
  </si>
  <si>
    <t>8:28</t>
  </si>
  <si>
    <t>8:35</t>
  </si>
  <si>
    <t>0:04:41</t>
  </si>
  <si>
    <t>8:40</t>
  </si>
  <si>
    <t>8:48</t>
  </si>
  <si>
    <t>0:07:50</t>
  </si>
  <si>
    <t>1:56:03</t>
  </si>
  <si>
    <t>0:10:45</t>
  </si>
  <si>
    <t>0:02:53</t>
  </si>
  <si>
    <t>10:58</t>
  </si>
  <si>
    <t>11:12</t>
  </si>
  <si>
    <t>0:14:28</t>
  </si>
  <si>
    <t>1:02:34</t>
  </si>
  <si>
    <t>12:15</t>
  </si>
  <si>
    <t>12:25</t>
  </si>
  <si>
    <t>0:10:12</t>
  </si>
  <si>
    <t>0:00:27</t>
  </si>
  <si>
    <t>12:35</t>
  </si>
  <si>
    <t>Sarkamaantie 13, 21280 Raisio, FIN</t>
  </si>
  <si>
    <t>0:09:46</t>
  </si>
  <si>
    <t>0:04:24</t>
  </si>
  <si>
    <t>12:39</t>
  </si>
  <si>
    <t>12:53</t>
  </si>
  <si>
    <t>0:13:10</t>
  </si>
  <si>
    <t>19:57:45</t>
  </si>
  <si>
    <t>7.11.2023</t>
  </si>
  <si>
    <t>8:50</t>
  </si>
  <si>
    <t>0:06:30</t>
  </si>
  <si>
    <t>0:03:36</t>
  </si>
  <si>
    <t>9:00</t>
  </si>
  <si>
    <t>Haunistentie 50, 21280 Raisio, FIN</t>
  </si>
  <si>
    <t>9:08</t>
  </si>
  <si>
    <t>Kyläpajankatu 2, 21200 Raisio, FIN</t>
  </si>
  <si>
    <t>0:07:13</t>
  </si>
  <si>
    <t>0:00:49</t>
  </si>
  <si>
    <t>9:14</t>
  </si>
  <si>
    <t>0:05:58</t>
  </si>
  <si>
    <t>1:40:03</t>
  </si>
  <si>
    <t>10:54</t>
  </si>
  <si>
    <t>11:03</t>
  </si>
  <si>
    <t>Pläkkisepänkatu 2, 20320 Turku, FIN</t>
  </si>
  <si>
    <t>0:08:43</t>
  </si>
  <si>
    <t>0:06:02</t>
  </si>
  <si>
    <t>11:09</t>
  </si>
  <si>
    <t>11:18</t>
  </si>
  <si>
    <t>0:08:35</t>
  </si>
  <si>
    <t>1:12:41</t>
  </si>
  <si>
    <t>Pläkkisepänkatu 2b, 20320 Turku, FIN</t>
  </si>
  <si>
    <t>0:10:37</t>
  </si>
  <si>
    <t>0:19:09</t>
  </si>
  <si>
    <t>13:00</t>
  </si>
  <si>
    <t>0:08:36</t>
  </si>
  <si>
    <t>13:16</t>
  </si>
  <si>
    <t>Kalustekatu 1b, 20320 Raisio, FIN</t>
  </si>
  <si>
    <t>0:05:23</t>
  </si>
  <si>
    <t>13:21</t>
  </si>
  <si>
    <t>13:32</t>
  </si>
  <si>
    <t>0:10:56</t>
  </si>
  <si>
    <t>20:37:46</t>
  </si>
  <si>
    <t>8.11.2023</t>
  </si>
  <si>
    <t>10:10</t>
  </si>
  <si>
    <t>10:17</t>
  </si>
  <si>
    <t>0:07:21</t>
  </si>
  <si>
    <t>0:20:43</t>
  </si>
  <si>
    <t>10:38</t>
  </si>
  <si>
    <t>0:08:30</t>
  </si>
  <si>
    <t>47:25:37</t>
  </si>
  <si>
    <t>10.11.2023</t>
  </si>
  <si>
    <t>10:12</t>
  </si>
  <si>
    <t>0:10:04</t>
  </si>
  <si>
    <t>0:06:19</t>
  </si>
  <si>
    <t>10:42</t>
  </si>
  <si>
    <t>0:13:07</t>
  </si>
  <si>
    <t>0:00:40</t>
  </si>
  <si>
    <t>0:02:59</t>
  </si>
  <si>
    <t>74:02:10</t>
  </si>
  <si>
    <t>13.11.2023</t>
  </si>
  <si>
    <t>12:48</t>
  </si>
  <si>
    <t>0:05:02</t>
  </si>
  <si>
    <t>0:00:58</t>
  </si>
  <si>
    <t>Itäniityntie 13, 21280 Raisio, FIN</t>
  </si>
  <si>
    <t>0:06:21</t>
  </si>
  <si>
    <t>0:04:36</t>
  </si>
  <si>
    <t>Itäniityntie 13, 20320 Raisio, FIN</t>
  </si>
  <si>
    <t>0:11:43</t>
  </si>
  <si>
    <t>46:16:58</t>
  </si>
  <si>
    <t>15.11.2023</t>
  </si>
  <si>
    <t>11:33</t>
  </si>
  <si>
    <t>11:39</t>
  </si>
  <si>
    <t>0:05:43</t>
  </si>
  <si>
    <t>0:44:39</t>
  </si>
  <si>
    <t>12:28</t>
  </si>
  <si>
    <t>Voudinkatu 13, 21200 Raisio, FIN</t>
  </si>
  <si>
    <t>0:03:59</t>
  </si>
  <si>
    <t>0:00:18</t>
  </si>
  <si>
    <t>0:07:11</t>
  </si>
  <si>
    <t>117:25:25</t>
  </si>
  <si>
    <t>20.11.2023</t>
  </si>
  <si>
    <t>10:00</t>
  </si>
  <si>
    <t>28:37:34</t>
  </si>
  <si>
    <t>21.11.2023</t>
  </si>
  <si>
    <t>14:43</t>
  </si>
  <si>
    <t>14:50</t>
  </si>
  <si>
    <t>0:06:31</t>
  </si>
  <si>
    <t>19:44:39</t>
  </si>
  <si>
    <t>22.11.2023</t>
  </si>
  <si>
    <t>10:49</t>
  </si>
  <si>
    <t>Kuninkojankaari 19, 20320 Turku, FIN</t>
  </si>
  <si>
    <t>0:14:42</t>
  </si>
  <si>
    <t>0:00:13</t>
  </si>
  <si>
    <t>0:11:59</t>
  </si>
  <si>
    <t>11:11</t>
  </si>
  <si>
    <t>11:27</t>
  </si>
  <si>
    <t>0:15:59</t>
  </si>
  <si>
    <t>6:17:54</t>
  </si>
  <si>
    <t>17:45</t>
  </si>
  <si>
    <t>18:09</t>
  </si>
  <si>
    <t>21500 Kaarina, FIN</t>
  </si>
  <si>
    <t>0:23:45</t>
  </si>
  <si>
    <t>0:06:34</t>
  </si>
  <si>
    <t>18:15</t>
  </si>
  <si>
    <t>18:18</t>
  </si>
  <si>
    <t>Kolamäentie 1, 21500 Kaarina, FIN</t>
  </si>
  <si>
    <t>Laskettu!</t>
  </si>
  <si>
    <t>0:02:11</t>
  </si>
  <si>
    <t>12:43:40</t>
  </si>
  <si>
    <t>23.11.2023</t>
  </si>
  <si>
    <t>7:01</t>
  </si>
  <si>
    <t>7:26</t>
  </si>
  <si>
    <t>0:24:14</t>
  </si>
  <si>
    <t>2:44:36</t>
  </si>
  <si>
    <t>0:12:33</t>
  </si>
  <si>
    <t>10:32</t>
  </si>
  <si>
    <t>0:02:28</t>
  </si>
  <si>
    <t>10:39</t>
  </si>
  <si>
    <t>Voudinkatu 9, 21200 Raisio, FIN</t>
  </si>
  <si>
    <t>0:08:41</t>
  </si>
  <si>
    <t>0:03:56</t>
  </si>
  <si>
    <t>10:52</t>
  </si>
  <si>
    <t>11:00</t>
  </si>
  <si>
    <t>0:08:26</t>
  </si>
  <si>
    <t>119:10:38</t>
  </si>
  <si>
    <t>28.11.2023</t>
  </si>
  <si>
    <t>0:12:57</t>
  </si>
  <si>
    <t>10:28</t>
  </si>
  <si>
    <t>0:17:04</t>
  </si>
  <si>
    <t>1:45:20</t>
  </si>
  <si>
    <t>12:31</t>
  </si>
  <si>
    <t>0:12:08</t>
  </si>
  <si>
    <t>0:06:05</t>
  </si>
  <si>
    <t>12:49</t>
  </si>
  <si>
    <t>13:03</t>
  </si>
  <si>
    <t>0:13:58</t>
  </si>
  <si>
    <t>0:35:58</t>
  </si>
  <si>
    <t>13:39</t>
  </si>
  <si>
    <t>13:51</t>
  </si>
  <si>
    <t>Vesilaitoksentie 8, 21200 Raisio, FIN</t>
  </si>
  <si>
    <t>0:11:57</t>
  </si>
  <si>
    <t>13:55</t>
  </si>
  <si>
    <t>14:05</t>
  </si>
  <si>
    <t>0:09:47</t>
  </si>
  <si>
    <t>43:13:22</t>
  </si>
  <si>
    <t>30.11.2023</t>
  </si>
  <si>
    <t>9:18</t>
  </si>
  <si>
    <t>PK1, Purokatu 1, 21200 Raisio, FIN</t>
  </si>
  <si>
    <t>0:05:17</t>
  </si>
  <si>
    <t>0:54:40</t>
  </si>
  <si>
    <t>10:18</t>
  </si>
  <si>
    <t>0:05:40</t>
  </si>
  <si>
    <t>25:09:17</t>
  </si>
  <si>
    <t>1.12.2023</t>
  </si>
  <si>
    <t>11:40</t>
  </si>
  <si>
    <t>0:06:50</t>
  </si>
  <si>
    <t>0:03:48</t>
  </si>
  <si>
    <t>11:43</t>
  </si>
  <si>
    <t>11:49</t>
  </si>
  <si>
    <t>Raisiontie 201, 21200 Raisio, FIN</t>
  </si>
  <si>
    <t>0:05:32</t>
  </si>
  <si>
    <t>0:15:57</t>
  </si>
  <si>
    <t>12:11</t>
  </si>
  <si>
    <t>69:46:48</t>
  </si>
  <si>
    <t>4.12.2023</t>
  </si>
  <si>
    <t>9:58</t>
  </si>
  <si>
    <t>10:04</t>
  </si>
  <si>
    <t>PK1, Purokatu 3, 21200 Raisio, FIN</t>
  </si>
  <si>
    <t>0:00:43</t>
  </si>
  <si>
    <t>EK4, Eeronkuja 4, 21200 Raisio, FIN</t>
  </si>
  <si>
    <t>0:07:51</t>
  </si>
  <si>
    <t>0:56:21</t>
  </si>
  <si>
    <t>11:21</t>
  </si>
  <si>
    <t>Raisiontie 93, 21280 Raisio, FIN</t>
  </si>
  <si>
    <t>0:12:25</t>
  </si>
  <si>
    <t>0:06:11</t>
  </si>
  <si>
    <t>11:34</t>
  </si>
  <si>
    <t>0:06:48</t>
  </si>
  <si>
    <t>0:00:50</t>
  </si>
  <si>
    <t>11:35</t>
  </si>
  <si>
    <t>11:50</t>
  </si>
  <si>
    <t>0:15:04</t>
  </si>
  <si>
    <t>0:27:48</t>
  </si>
  <si>
    <t>12:18</t>
  </si>
  <si>
    <t>0:06:12</t>
  </si>
  <si>
    <t>1:24:39</t>
  </si>
  <si>
    <t>13:49</t>
  </si>
  <si>
    <t>13:57</t>
  </si>
  <si>
    <t>0:08:25</t>
  </si>
  <si>
    <t>0:01:17</t>
  </si>
  <si>
    <t>13:58</t>
  </si>
  <si>
    <t>19:50:03</t>
  </si>
  <si>
    <t>5.12.2023</t>
  </si>
  <si>
    <t>Alhaistentie 6, 21200 Raisio, FIN</t>
  </si>
  <si>
    <t>0:05:21</t>
  </si>
  <si>
    <t>0:02:29</t>
  </si>
  <si>
    <t>0:05:59</t>
  </si>
  <si>
    <t>170:51:17</t>
  </si>
  <si>
    <t>12.12.2023</t>
  </si>
  <si>
    <t>13:25</t>
  </si>
  <si>
    <t>13:33</t>
  </si>
  <si>
    <t>0:08:01</t>
  </si>
  <si>
    <t>Kuninkaanväylä 22, 20320 Raisio, FIN</t>
  </si>
  <si>
    <t>Alhaistentie 4, 21200 Raisio, FIN</t>
  </si>
  <si>
    <t>0:09:32</t>
  </si>
  <si>
    <t>14:10</t>
  </si>
  <si>
    <t>0:06:07</t>
  </si>
  <si>
    <t>21:26:44</t>
  </si>
  <si>
    <t>13.12.2023</t>
  </si>
  <si>
    <t>11:37</t>
  </si>
  <si>
    <t>11:41</t>
  </si>
  <si>
    <t>Martinkatu 2, 21200 Raisio, FIN</t>
  </si>
  <si>
    <t>0:30:52</t>
  </si>
  <si>
    <t>12:12</t>
  </si>
  <si>
    <t>116:08:38</t>
  </si>
  <si>
    <t>18.12.2023</t>
  </si>
  <si>
    <t>Maahistenkuja 3, 20400 Turku, FIN</t>
  </si>
  <si>
    <t>0:15:01</t>
  </si>
  <si>
    <t>0:36:50</t>
  </si>
  <si>
    <t>9:17</t>
  </si>
  <si>
    <t>9:22</t>
  </si>
  <si>
    <t>Mittumaarintie 73, 20400 Turku, FIN</t>
  </si>
  <si>
    <t>0:04:27</t>
  </si>
  <si>
    <t>0:00:14</t>
  </si>
  <si>
    <t>9:42</t>
  </si>
  <si>
    <t>0:19:43</t>
  </si>
  <si>
    <t>23:09:11</t>
  </si>
  <si>
    <t>19.12.2023</t>
  </si>
  <si>
    <t>8:51</t>
  </si>
  <si>
    <t>9:02</t>
  </si>
  <si>
    <t>0:11:00</t>
  </si>
  <si>
    <t>0:07:57</t>
  </si>
  <si>
    <t>9:10</t>
  </si>
  <si>
    <t>Martinkatu 10, 21200 Raisio, FIN</t>
  </si>
  <si>
    <t>0:11:46</t>
  </si>
  <si>
    <t>0:00:16</t>
  </si>
  <si>
    <t>9:28</t>
  </si>
  <si>
    <t>0:05:35</t>
  </si>
  <si>
    <t>0:44:07</t>
  </si>
  <si>
    <t>10:19</t>
  </si>
  <si>
    <t>Tuotekatu 12, 21200 Raisio, FIN</t>
  </si>
  <si>
    <t>0:07:26</t>
  </si>
  <si>
    <t>0:10:59</t>
  </si>
  <si>
    <t>0:08:04</t>
  </si>
  <si>
    <t>3:04:18</t>
  </si>
  <si>
    <t>13:43</t>
  </si>
  <si>
    <t>Maahistenkuja 2, 20400 Turku, FIN</t>
  </si>
  <si>
    <t>0:16:26</t>
  </si>
  <si>
    <t>0:01:05</t>
  </si>
  <si>
    <t>14:00</t>
  </si>
  <si>
    <t>14:18</t>
  </si>
  <si>
    <t>0:17:30</t>
  </si>
  <si>
    <t>68:38:35</t>
  </si>
  <si>
    <t>22.12.2023</t>
  </si>
  <si>
    <t>10:56</t>
  </si>
  <si>
    <t>0:12:39</t>
  </si>
  <si>
    <t>0:10:33</t>
  </si>
  <si>
    <t>11:19</t>
  </si>
  <si>
    <t>11:26</t>
  </si>
  <si>
    <t>21280 Raisio, FIN</t>
  </si>
  <si>
    <t>0:06:54</t>
  </si>
  <si>
    <t>0:04:07</t>
  </si>
  <si>
    <t>11:30</t>
  </si>
  <si>
    <t>0:09:55</t>
  </si>
  <si>
    <t>0:23:21</t>
  </si>
  <si>
    <t>12:04</t>
  </si>
  <si>
    <t>12:08</t>
  </si>
  <si>
    <t>0:04:29</t>
  </si>
  <si>
    <t>0:43:40</t>
  </si>
  <si>
    <t>0:02:44</t>
  </si>
  <si>
    <t>118:22:20</t>
  </si>
  <si>
    <t>27.12.2023</t>
  </si>
  <si>
    <t>11:17</t>
  </si>
  <si>
    <t>11:22</t>
  </si>
  <si>
    <t>Martinkatu 1, 21200 Raisio, FIN</t>
  </si>
  <si>
    <t>0:04:56</t>
  </si>
  <si>
    <t>0:22:37</t>
  </si>
  <si>
    <t>11:44</t>
  </si>
  <si>
    <t>0:05:34</t>
  </si>
  <si>
    <t>23:31:27</t>
  </si>
  <si>
    <t>28.12.2023</t>
  </si>
  <si>
    <t>0:05:13</t>
  </si>
  <si>
    <t>0:28:32</t>
  </si>
  <si>
    <t>11:55</t>
  </si>
  <si>
    <t>12:00</t>
  </si>
  <si>
    <t>0:05:18</t>
  </si>
  <si>
    <t>23:04:53</t>
  </si>
  <si>
    <t>29.12.2023</t>
  </si>
  <si>
    <t>11:05</t>
  </si>
  <si>
    <t>Raisiontori 11, 21200 Raisio, FIN</t>
  </si>
  <si>
    <t>0:06:28</t>
  </si>
  <si>
    <t>0:26:37</t>
  </si>
  <si>
    <t>11:38</t>
  </si>
  <si>
    <t>11:46</t>
  </si>
  <si>
    <t>0:07:06</t>
  </si>
  <si>
    <t>1:06:07</t>
  </si>
  <si>
    <t>12:57</t>
  </si>
  <si>
    <t>0:05:46</t>
  </si>
  <si>
    <t>1:02:40</t>
  </si>
  <si>
    <t>0:08:20</t>
  </si>
  <si>
    <t>0:01:44</t>
  </si>
  <si>
    <t>14:22</t>
  </si>
  <si>
    <t>0:12:02</t>
  </si>
  <si>
    <t>Yhteensä</t>
  </si>
  <si>
    <t>21:28:19</t>
  </si>
  <si>
    <t>2047:21:08</t>
  </si>
  <si>
    <t>Kaikki ajot yhteensä</t>
  </si>
  <si>
    <t>Kaikki yhteensä</t>
  </si>
  <si>
    <t>Ajon tarkoitus</t>
  </si>
  <si>
    <t>Kuljettaja</t>
  </si>
  <si>
    <t>5.1.2024</t>
  </si>
  <si>
    <t>Varaosien nouto</t>
  </si>
  <si>
    <t>Tuukka Leino</t>
  </si>
  <si>
    <t>12:37</t>
  </si>
  <si>
    <t>0:23:55</t>
  </si>
  <si>
    <t>13:01</t>
  </si>
  <si>
    <t>13:12</t>
  </si>
  <si>
    <t>Kuloistentie 3, 21280 Raisio, FIN</t>
  </si>
  <si>
    <t>0:10:52</t>
  </si>
  <si>
    <t>0:01:22</t>
  </si>
  <si>
    <t>13:13</t>
  </si>
  <si>
    <t>13:18</t>
  </si>
  <si>
    <t>0:04:58</t>
  </si>
  <si>
    <t>0:16:40</t>
  </si>
  <si>
    <t>13:35</t>
  </si>
  <si>
    <t>13:45</t>
  </si>
  <si>
    <t>0:10:11</t>
  </si>
  <si>
    <t>70:27:38</t>
  </si>
  <si>
    <t>8.1.2024</t>
  </si>
  <si>
    <t>12:13</t>
  </si>
  <si>
    <t>12:23</t>
  </si>
  <si>
    <t>Vuorelankatu 5, 20320 Raisio, FIN</t>
  </si>
  <si>
    <t>0:10:27</t>
  </si>
  <si>
    <t>0:06:37</t>
  </si>
  <si>
    <t>0:03:54</t>
  </si>
  <si>
    <t>0:04:35</t>
  </si>
  <si>
    <t>0:11:21</t>
  </si>
  <si>
    <t>1:02:20</t>
  </si>
  <si>
    <t>13:52</t>
  </si>
  <si>
    <t>14:06</t>
  </si>
  <si>
    <t>Kalustekatu 1B, 20320 Raisio, FIN</t>
  </si>
  <si>
    <t>0:14:03</t>
  </si>
  <si>
    <t>0:09:54</t>
  </si>
  <si>
    <t>14:16</t>
  </si>
  <si>
    <t>14:21</t>
  </si>
  <si>
    <t>0:13:34</t>
  </si>
  <si>
    <t>14:34</t>
  </si>
  <si>
    <t>14:49</t>
  </si>
  <si>
    <t>0:14:27</t>
  </si>
  <si>
    <t>20:16:54</t>
  </si>
  <si>
    <t>9.1.2024</t>
  </si>
  <si>
    <t>11:06</t>
  </si>
  <si>
    <t>0:05:09</t>
  </si>
  <si>
    <t>0:22:35</t>
  </si>
  <si>
    <t>0:07:04</t>
  </si>
  <si>
    <t>0:07:29</t>
  </si>
  <si>
    <t>11:48</t>
  </si>
  <si>
    <t>0:12:00</t>
  </si>
  <si>
    <t>0:12:46</t>
  </si>
  <si>
    <t>0:37:16</t>
  </si>
  <si>
    <t>13:10</t>
  </si>
  <si>
    <t>Pläkkisepänkatu 5, 20320 Turku, FIN</t>
  </si>
  <si>
    <t>0:08:17</t>
  </si>
  <si>
    <t>13:31</t>
  </si>
  <si>
    <t>0:12:23</t>
  </si>
  <si>
    <t>0:02:22</t>
  </si>
  <si>
    <t>0:11:55</t>
  </si>
  <si>
    <t>0:03:01</t>
  </si>
  <si>
    <t>13:48</t>
  </si>
  <si>
    <t>14:01</t>
  </si>
  <si>
    <t>0:12:45</t>
  </si>
  <si>
    <t>0:02:23</t>
  </si>
  <si>
    <t>14:03</t>
  </si>
  <si>
    <t>14:13</t>
  </si>
  <si>
    <t>0:10:20</t>
  </si>
  <si>
    <t>0:11:30</t>
  </si>
  <si>
    <t>14:25</t>
  </si>
  <si>
    <t>14:38</t>
  </si>
  <si>
    <t>0:01:16</t>
  </si>
  <si>
    <t>14:39</t>
  </si>
  <si>
    <t>0:09:50</t>
  </si>
  <si>
    <t>18:43:03</t>
  </si>
  <si>
    <t>10.1.2024</t>
  </si>
  <si>
    <t>9:32</t>
  </si>
  <si>
    <t>9:52</t>
  </si>
  <si>
    <t>0:20:16</t>
  </si>
  <si>
    <t>0:49:31</t>
  </si>
  <si>
    <t>0:15:23</t>
  </si>
  <si>
    <t>2:38:02</t>
  </si>
  <si>
    <t>0:28:01</t>
  </si>
  <si>
    <t>0:10:19</t>
  </si>
  <si>
    <t>0:07:52</t>
  </si>
  <si>
    <t>0:14:21</t>
  </si>
  <si>
    <t>14:36</t>
  </si>
  <si>
    <t>Raisiontie 87, 21280 Raisio, FIN</t>
  </si>
  <si>
    <t>0:07:39</t>
  </si>
  <si>
    <t>0:38:12</t>
  </si>
  <si>
    <t>15:22</t>
  </si>
  <si>
    <t>15:29</t>
  </si>
  <si>
    <t>0:01:09</t>
  </si>
  <si>
    <t>15:30</t>
  </si>
  <si>
    <t>15:37</t>
  </si>
  <si>
    <t>0:01:18</t>
  </si>
  <si>
    <t>15:38</t>
  </si>
  <si>
    <t>15:49</t>
  </si>
  <si>
    <t>0:10:57</t>
  </si>
  <si>
    <t>114:08:56</t>
  </si>
  <si>
    <t>15.1.2024</t>
  </si>
  <si>
    <t>10:08</t>
  </si>
  <si>
    <t>0:01:25</t>
  </si>
  <si>
    <t>10:09</t>
  </si>
  <si>
    <t>0:11:01</t>
  </si>
  <si>
    <t>2:36:12</t>
  </si>
  <si>
    <t>12:56</t>
  </si>
  <si>
    <t>0:12:40</t>
  </si>
  <si>
    <t>0:08:53</t>
  </si>
  <si>
    <t>0:13:13</t>
  </si>
  <si>
    <t>20:40:43</t>
  </si>
  <si>
    <t>16.1.2024</t>
  </si>
  <si>
    <t>0:10:24</t>
  </si>
  <si>
    <t>0:09:11</t>
  </si>
  <si>
    <t>10:31</t>
  </si>
  <si>
    <t>0:09:52</t>
  </si>
  <si>
    <t>1:36:19</t>
  </si>
  <si>
    <t>0:10:48</t>
  </si>
  <si>
    <t>0:07:46</t>
  </si>
  <si>
    <t>0:12:14</t>
  </si>
  <si>
    <t>1:06:30</t>
  </si>
  <si>
    <t>0:08:31</t>
  </si>
  <si>
    <t>0:18:21</t>
  </si>
  <si>
    <t>14:31</t>
  </si>
  <si>
    <t>0:09:24</t>
  </si>
  <si>
    <t>22:04:46</t>
  </si>
  <si>
    <t>17.1.2024</t>
  </si>
  <si>
    <t>Myyrätie 15, 21220 Raisio, FIN</t>
  </si>
  <si>
    <t>0:16:17</t>
  </si>
  <si>
    <t>0:09:23</t>
  </si>
  <si>
    <t>13:02</t>
  </si>
  <si>
    <t>13:17</t>
  </si>
  <si>
    <t>0:15:26</t>
  </si>
  <si>
    <t>0:22:19</t>
  </si>
  <si>
    <t>0:07:59</t>
  </si>
  <si>
    <t>14:09</t>
  </si>
  <si>
    <t>0:09:05</t>
  </si>
  <si>
    <t>0:12:52</t>
  </si>
  <si>
    <t>14:30</t>
  </si>
  <si>
    <t>0:07:54</t>
  </si>
  <si>
    <t>0:01:50</t>
  </si>
  <si>
    <t>14:32</t>
  </si>
  <si>
    <t>14:45</t>
  </si>
  <si>
    <t>0:13:28</t>
  </si>
  <si>
    <t>43:59:21</t>
  </si>
  <si>
    <t>19.1.2024</t>
  </si>
  <si>
    <t>0:13:06</t>
  </si>
  <si>
    <t>0:19:51</t>
  </si>
  <si>
    <t>0:12:28</t>
  </si>
  <si>
    <t>69:14:26</t>
  </si>
  <si>
    <t>22.1.2024</t>
  </si>
  <si>
    <t>8:45</t>
  </si>
  <si>
    <t>8:59</t>
  </si>
  <si>
    <t>Nuppulantie 33, 20320 Turku, FIN</t>
  </si>
  <si>
    <t>0:14:06</t>
  </si>
  <si>
    <t>0:01:06</t>
  </si>
  <si>
    <t>0:14:15</t>
  </si>
  <si>
    <t>4:17:28</t>
  </si>
  <si>
    <t>13:44</t>
  </si>
  <si>
    <t>Raumantie 714, 21250 Masku, FIN</t>
  </si>
  <si>
    <t>0:12:48</t>
  </si>
  <si>
    <t>0:06:51</t>
  </si>
  <si>
    <t>0:14:34</t>
  </si>
  <si>
    <t>0:45:20</t>
  </si>
  <si>
    <t>14:51</t>
  </si>
  <si>
    <t>15:00</t>
  </si>
  <si>
    <t>Raisiontie 85, 21280 Raisio, FIN</t>
  </si>
  <si>
    <t>0:08:16</t>
  </si>
  <si>
    <t>15:08</t>
  </si>
  <si>
    <t>15:17</t>
  </si>
  <si>
    <t>0:08:56</t>
  </si>
  <si>
    <t>17:09:45</t>
  </si>
  <si>
    <t>23.1.2024</t>
  </si>
  <si>
    <t>8:27</t>
  </si>
  <si>
    <t>0:12:27</t>
  </si>
  <si>
    <t>9:03</t>
  </si>
  <si>
    <t>0:18:08</t>
  </si>
  <si>
    <t>0:33:07</t>
  </si>
  <si>
    <t>9:36</t>
  </si>
  <si>
    <t>9:55</t>
  </si>
  <si>
    <t>0:19:24</t>
  </si>
  <si>
    <t>3:49:14</t>
  </si>
  <si>
    <t>0:12:16</t>
  </si>
  <si>
    <t>14:07</t>
  </si>
  <si>
    <t>0:14:35</t>
  </si>
  <si>
    <t>41:56:00</t>
  </si>
  <si>
    <t>25.1.2024</t>
  </si>
  <si>
    <t>8:18</t>
  </si>
  <si>
    <t>8:25</t>
  </si>
  <si>
    <t>Voudinkatu 5, 21200 Raisio, FIN</t>
  </si>
  <si>
    <t>0:02:01</t>
  </si>
  <si>
    <t>8:37</t>
  </si>
  <si>
    <t>0:15:19</t>
  </si>
  <si>
    <t>8:52</t>
  </si>
  <si>
    <t>9:06</t>
  </si>
  <si>
    <t>0:13:11</t>
  </si>
  <si>
    <t>97:49:58</t>
  </si>
  <si>
    <t>29.1.2024</t>
  </si>
  <si>
    <t>11:04</t>
  </si>
  <si>
    <t>0:08:24</t>
  </si>
  <si>
    <t>0:01:12</t>
  </si>
  <si>
    <t>0:06:58</t>
  </si>
  <si>
    <t>0:19:07</t>
  </si>
  <si>
    <t>11:31</t>
  </si>
  <si>
    <t>0:05:16</t>
  </si>
  <si>
    <t>1:05:06</t>
  </si>
  <si>
    <t>0:03:24</t>
  </si>
  <si>
    <t>20:09:25</t>
  </si>
  <si>
    <t>30.1.2024</t>
  </si>
  <si>
    <t>9:34</t>
  </si>
  <si>
    <t>Rimpikuja 4, 21110 Naantali, FIN</t>
  </si>
  <si>
    <t>0:02:47</t>
  </si>
  <si>
    <t>9:41</t>
  </si>
  <si>
    <t>0:03:12</t>
  </si>
  <si>
    <t>9:44</t>
  </si>
  <si>
    <t>9:48</t>
  </si>
  <si>
    <t>Rimpikuja 1, 21110 Naantali, FIN</t>
  </si>
  <si>
    <t>0:04:16</t>
  </si>
  <si>
    <t>4:25:22</t>
  </si>
  <si>
    <t>14:14</t>
  </si>
  <si>
    <t>19:06:03</t>
  </si>
  <si>
    <t>31.1.2024</t>
  </si>
  <si>
    <t>9:49</t>
  </si>
  <si>
    <t>0:12:26</t>
  </si>
  <si>
    <t>0:12:17</t>
  </si>
  <si>
    <t>0:10:54</t>
  </si>
  <si>
    <t>1:00:54</t>
  </si>
  <si>
    <t>11:20</t>
  </si>
  <si>
    <t>0:03:22</t>
  </si>
  <si>
    <t>11:23</t>
  </si>
  <si>
    <t>Raisiontie 83, 21280 Raisio, FIN</t>
  </si>
  <si>
    <t>0:06:13</t>
  </si>
  <si>
    <t>11:45</t>
  </si>
  <si>
    <t>0:07:01</t>
  </si>
  <si>
    <t>0:44:25</t>
  </si>
  <si>
    <t>12:29</t>
  </si>
  <si>
    <t>Apilakatu 7, 20740 Turku, FIN</t>
  </si>
  <si>
    <t>0:27:33</t>
  </si>
  <si>
    <t>0:39:53</t>
  </si>
  <si>
    <t>13:37</t>
  </si>
  <si>
    <t>0:33:03</t>
  </si>
  <si>
    <t>117:24:05</t>
  </si>
  <si>
    <t>5.2.2024</t>
  </si>
  <si>
    <t>12:01</t>
  </si>
  <si>
    <t>0:26:55</t>
  </si>
  <si>
    <t>1:43:58</t>
  </si>
  <si>
    <t>Voudinkatu 3, 21200 Raisio, FIN</t>
  </si>
  <si>
    <t>13:53</t>
  </si>
  <si>
    <t>0:12:10</t>
  </si>
  <si>
    <t>0:04:20</t>
  </si>
  <si>
    <t>14:24</t>
  </si>
  <si>
    <t>0:14:24</t>
  </si>
  <si>
    <t>22:59:52</t>
  </si>
  <si>
    <t>6.2.2024</t>
  </si>
  <si>
    <t>13:24</t>
  </si>
  <si>
    <t>0:11:10</t>
  </si>
  <si>
    <t>0:11:39</t>
  </si>
  <si>
    <t>13:47</t>
  </si>
  <si>
    <t>0:11:14</t>
  </si>
  <si>
    <t>1:41:03</t>
  </si>
  <si>
    <t>15:39</t>
  </si>
  <si>
    <t>15:51</t>
  </si>
  <si>
    <t>0:12:29</t>
  </si>
  <si>
    <t>0:03:21</t>
  </si>
  <si>
    <t>15:55</t>
  </si>
  <si>
    <t>16:07</t>
  </si>
  <si>
    <t>17:39:24</t>
  </si>
  <si>
    <t>7.2.2024</t>
  </si>
  <si>
    <t>9:46</t>
  </si>
  <si>
    <t>0:12:31</t>
  </si>
  <si>
    <t>0:09:17</t>
  </si>
  <si>
    <t>0:11:45</t>
  </si>
  <si>
    <t>3:13:50</t>
  </si>
  <si>
    <t>0:13:57</t>
  </si>
  <si>
    <t>0:04:17</t>
  </si>
  <si>
    <t>0:01:33</t>
  </si>
  <si>
    <t>0:12:47</t>
  </si>
  <si>
    <t>18:12:00</t>
  </si>
  <si>
    <t>8.2.2024</t>
  </si>
  <si>
    <t>Konekuja 55, 21200 Raisio, FIN</t>
  </si>
  <si>
    <t>0:09:26</t>
  </si>
  <si>
    <t>0:16:22</t>
  </si>
  <si>
    <t>8:54</t>
  </si>
  <si>
    <t>0:08:10</t>
  </si>
  <si>
    <t>0:29:29</t>
  </si>
  <si>
    <t>9:31</t>
  </si>
  <si>
    <t>0:02:21</t>
  </si>
  <si>
    <t>0:05:39</t>
  </si>
  <si>
    <t>0:02:57</t>
  </si>
  <si>
    <t>0:07:32</t>
  </si>
  <si>
    <t>0:01:48</t>
  </si>
  <si>
    <t>9:56</t>
  </si>
  <si>
    <t>0:02:05</t>
  </si>
  <si>
    <t>10:14</t>
  </si>
  <si>
    <t>2:29:41</t>
  </si>
  <si>
    <t>12:44</t>
  </si>
  <si>
    <t>Avantintie 11, 21420 Lieto, FIN</t>
  </si>
  <si>
    <t>0:14:55</t>
  </si>
  <si>
    <t>0:16:58</t>
  </si>
  <si>
    <t>13:28</t>
  </si>
  <si>
    <t>0:30:35</t>
  </si>
  <si>
    <t>0:02:06</t>
  </si>
  <si>
    <t>Raumantie 712, 21250 Masku, FIN</t>
  </si>
  <si>
    <t>90:29:37</t>
  </si>
  <si>
    <t>12.2.2024</t>
  </si>
  <si>
    <t>8:43</t>
  </si>
  <si>
    <t>8:53</t>
  </si>
  <si>
    <t>20320 Raisio, FIN</t>
  </si>
  <si>
    <t>0:01:01</t>
  </si>
  <si>
    <t>9:04</t>
  </si>
  <si>
    <t>0:10:36</t>
  </si>
  <si>
    <t>0:34:01</t>
  </si>
  <si>
    <t>0:11:17</t>
  </si>
  <si>
    <t>10:05</t>
  </si>
  <si>
    <t>23:20:59</t>
  </si>
  <si>
    <t>13.2.2024</t>
  </si>
  <si>
    <t>0:21:59</t>
  </si>
  <si>
    <t>10:15</t>
  </si>
  <si>
    <t>0:14:39</t>
  </si>
  <si>
    <t>74:48:53</t>
  </si>
  <si>
    <t>16.2.2024</t>
  </si>
  <si>
    <t>13:41</t>
  </si>
  <si>
    <t>0:22:20</t>
  </si>
  <si>
    <t>238:52:41</t>
  </si>
  <si>
    <t>26.2.2024</t>
  </si>
  <si>
    <t>Polttolaitoksenkatu 9, 20380 Turku, FIN</t>
  </si>
  <si>
    <t>0:22:57</t>
  </si>
  <si>
    <t>13:08</t>
  </si>
  <si>
    <t>13:22</t>
  </si>
  <si>
    <t>0:14:45</t>
  </si>
  <si>
    <t>0:02:39</t>
  </si>
  <si>
    <t>0:09:33</t>
  </si>
  <si>
    <t>162:51:16</t>
  </si>
  <si>
    <t>4.3.2024</t>
  </si>
  <si>
    <t>9:07</t>
  </si>
  <si>
    <t>Orikedonkatu 9, 20380 Turku, FIN</t>
  </si>
  <si>
    <t>0:17:03</t>
  </si>
  <si>
    <t>0:07:37</t>
  </si>
  <si>
    <t>9:15</t>
  </si>
  <si>
    <t>0:17:48</t>
  </si>
  <si>
    <t>3:27:30</t>
  </si>
  <si>
    <t>0:04:26</t>
  </si>
  <si>
    <t>1:00:13</t>
  </si>
  <si>
    <t>14:11</t>
  </si>
  <si>
    <t>0:05:52</t>
  </si>
  <si>
    <t>21:45:12</t>
  </si>
  <si>
    <t>5.3.2024</t>
  </si>
  <si>
    <t>11:56</t>
  </si>
  <si>
    <t>12:14</t>
  </si>
  <si>
    <t>0:17:51</t>
  </si>
  <si>
    <t>0:01:37</t>
  </si>
  <si>
    <t>12:34</t>
  </si>
  <si>
    <t>0:18:36</t>
  </si>
  <si>
    <t>72:17:32</t>
  </si>
  <si>
    <t>8.3.2024</t>
  </si>
  <si>
    <t>12:51</t>
  </si>
  <si>
    <t>0:07:34</t>
  </si>
  <si>
    <t>0:02:20</t>
  </si>
  <si>
    <t>13:07</t>
  </si>
  <si>
    <t>0:06:03</t>
  </si>
  <si>
    <t>0:00:19</t>
  </si>
  <si>
    <t>13:15</t>
  </si>
  <si>
    <t>0:06:59</t>
  </si>
  <si>
    <t>67:19:34</t>
  </si>
  <si>
    <t>11.3.2024</t>
  </si>
  <si>
    <t>8:34</t>
  </si>
  <si>
    <t>8:55</t>
  </si>
  <si>
    <t>0:27:04</t>
  </si>
  <si>
    <t>3:55:16</t>
  </si>
  <si>
    <t>0:10:21</t>
  </si>
  <si>
    <t>13:30</t>
  </si>
  <si>
    <t>0:10:02</t>
  </si>
  <si>
    <t>45:04:57</t>
  </si>
  <si>
    <t>13.3.2024</t>
  </si>
  <si>
    <t>10:53</t>
  </si>
  <si>
    <t>0:02:32</t>
  </si>
  <si>
    <t>Voudinkatu 7, 21200 Raisio, FIN</t>
  </si>
  <si>
    <t>0:08:18</t>
  </si>
  <si>
    <t>22:40:34</t>
  </si>
  <si>
    <t>14.3.2024</t>
  </si>
  <si>
    <t>Kuormakatu 7, 20380 Turku, FIN</t>
  </si>
  <si>
    <t>Piiskakuja 10, 20380 Turku, FIN</t>
  </si>
  <si>
    <t>Juhaninkuja 2, 21200 Raisio, FIN</t>
  </si>
  <si>
    <t>0:25:17</t>
  </si>
  <si>
    <t>21200 Raisio, FIN</t>
  </si>
  <si>
    <t>10:46</t>
  </si>
  <si>
    <t>0:03:47</t>
  </si>
  <si>
    <t>95:16:06</t>
  </si>
  <si>
    <t>18.3.2024</t>
  </si>
  <si>
    <t>20300 Turku, FIN</t>
  </si>
  <si>
    <t>0:16:39</t>
  </si>
  <si>
    <t>Asentajankatu 6, 20320 Turku, FIN</t>
  </si>
  <si>
    <t>0:03:27</t>
  </si>
  <si>
    <t>0:17:36</t>
  </si>
  <si>
    <t>100:31:32</t>
  </si>
  <si>
    <t>22.3.2024</t>
  </si>
  <si>
    <t>Käpsänkatu 6, 21200 Raisio, FIN</t>
  </si>
  <si>
    <t>15:40</t>
  </si>
  <si>
    <t>0:10:38</t>
  </si>
  <si>
    <t>0:03:26</t>
  </si>
  <si>
    <t>15:43</t>
  </si>
  <si>
    <t>0:11:33</t>
  </si>
  <si>
    <t>113:12:20</t>
  </si>
  <si>
    <t>27.3.2024</t>
  </si>
  <si>
    <t>0:11:32</t>
  </si>
  <si>
    <t>9:19</t>
  </si>
  <si>
    <t>0:02:48</t>
  </si>
  <si>
    <t>9:35</t>
  </si>
  <si>
    <t>Vanha Tampereentie 108, 20300 Turku, FIN</t>
  </si>
  <si>
    <t>0:03:15</t>
  </si>
  <si>
    <t>Jokipellonkuja 1, 20300 Turku, FIN</t>
  </si>
  <si>
    <t>0:17:26</t>
  </si>
  <si>
    <t>0:10:16</t>
  </si>
  <si>
    <t>0:15:05</t>
  </si>
  <si>
    <t>0:06:56</t>
  </si>
  <si>
    <t>0:09:18</t>
  </si>
  <si>
    <t>0:11:25</t>
  </si>
  <si>
    <t>11:16</t>
  </si>
  <si>
    <t>0:06:53</t>
  </si>
  <si>
    <t>0:24:49</t>
  </si>
  <si>
    <t>11:47</t>
  </si>
  <si>
    <t>11:53</t>
  </si>
  <si>
    <t>0:05:55</t>
  </si>
  <si>
    <t>21:40:53</t>
  </si>
  <si>
    <t>28.3.2024</t>
  </si>
  <si>
    <t>0:12:09</t>
  </si>
  <si>
    <t>0:34:42</t>
  </si>
  <si>
    <t>10:21</t>
  </si>
  <si>
    <t>0:11:29</t>
  </si>
  <si>
    <t>116:40:30</t>
  </si>
  <si>
    <t>2.4.2024</t>
  </si>
  <si>
    <t>8:13</t>
  </si>
  <si>
    <t>3:41:35</t>
  </si>
  <si>
    <t>12:19</t>
  </si>
  <si>
    <t>0:17:08</t>
  </si>
  <si>
    <t>20:39:19</t>
  </si>
  <si>
    <t>3.4.2024</t>
  </si>
  <si>
    <t>9:16</t>
  </si>
  <si>
    <t>9:29</t>
  </si>
  <si>
    <t>0:13:36</t>
  </si>
  <si>
    <t>0:13:55</t>
  </si>
  <si>
    <t>9:43</t>
  </si>
  <si>
    <t>3:18:50</t>
  </si>
  <si>
    <t>0:04:45</t>
  </si>
  <si>
    <t>0:02:40</t>
  </si>
  <si>
    <t>13:19</t>
  </si>
  <si>
    <t>13:26</t>
  </si>
  <si>
    <t>Myllynkatu 1-60, 21280 Raisio, FIN</t>
  </si>
  <si>
    <t>0:06:41</t>
  </si>
  <si>
    <t>0:01:46</t>
  </si>
  <si>
    <t>13:34</t>
  </si>
  <si>
    <t>0:05:56</t>
  </si>
  <si>
    <t>0:01:21</t>
  </si>
  <si>
    <t>165:36:43</t>
  </si>
  <si>
    <t>10.4.2024</t>
  </si>
  <si>
    <t>0:07:19</t>
  </si>
  <si>
    <t>0:25:54</t>
  </si>
  <si>
    <t>0:04:03</t>
  </si>
  <si>
    <t>0:02:12</t>
  </si>
  <si>
    <t>12:02</t>
  </si>
  <si>
    <t>12:07</t>
  </si>
  <si>
    <t>0:05:07</t>
  </si>
  <si>
    <t>0:05:04</t>
  </si>
  <si>
    <t>19:58:24</t>
  </si>
  <si>
    <t>11.4.2024</t>
  </si>
  <si>
    <t>8:11</t>
  </si>
  <si>
    <t>0:15:08</t>
  </si>
  <si>
    <t>0:03:35</t>
  </si>
  <si>
    <t>8:29</t>
  </si>
  <si>
    <t>8:36</t>
  </si>
  <si>
    <t>0:02:35</t>
  </si>
  <si>
    <t>8:39</t>
  </si>
  <si>
    <t>0:15:49</t>
  </si>
  <si>
    <t>97:12:40</t>
  </si>
  <si>
    <t>15.4.2024</t>
  </si>
  <si>
    <t>0:50:51</t>
  </si>
  <si>
    <t>1:36:37</t>
  </si>
  <si>
    <t>0:14:05</t>
  </si>
  <si>
    <t>0:12:12</t>
  </si>
  <si>
    <t>22:55:57</t>
  </si>
  <si>
    <t>16.4.2024</t>
  </si>
  <si>
    <t>0:07:36</t>
  </si>
  <si>
    <t>0:09:31</t>
  </si>
  <si>
    <t>0:07:15</t>
  </si>
  <si>
    <t>12:46</t>
  </si>
  <si>
    <t>0:06:40</t>
  </si>
  <si>
    <t>45:37:26</t>
  </si>
  <si>
    <t>18.4.2024</t>
  </si>
  <si>
    <t>10:35</t>
  </si>
  <si>
    <t>0:05:31</t>
  </si>
  <si>
    <t>0:00:51</t>
  </si>
  <si>
    <t>0:05:11</t>
  </si>
  <si>
    <t>23:13:53</t>
  </si>
  <si>
    <t>19.4.2024</t>
  </si>
  <si>
    <t>10:03</t>
  </si>
  <si>
    <t>Nikkarinkatu 1, 21280 Raisio, FIN</t>
  </si>
  <si>
    <t>0:01:35</t>
  </si>
  <si>
    <t>10:13</t>
  </si>
  <si>
    <t>0:00:10</t>
  </si>
  <si>
    <t>0:09:35</t>
  </si>
  <si>
    <t>122:44:10</t>
  </si>
  <si>
    <t>24.4.2024</t>
  </si>
  <si>
    <t>0:16:38</t>
  </si>
  <si>
    <t>0:04:14</t>
  </si>
  <si>
    <t>0:17:13</t>
  </si>
  <si>
    <t>117:31:54</t>
  </si>
  <si>
    <t>29.4.2024</t>
  </si>
  <si>
    <t>11:28</t>
  </si>
  <si>
    <t>Postikatu 2a, 20250 Turku, FIN</t>
  </si>
  <si>
    <t>0:11:19</t>
  </si>
  <si>
    <t>0:27:06</t>
  </si>
  <si>
    <t>0:11:31</t>
  </si>
  <si>
    <t>92:10:54</t>
  </si>
  <si>
    <t>3.5.2024</t>
  </si>
  <si>
    <t>Rieskalähteentie 77, 20300 Turku, FIN</t>
  </si>
  <si>
    <t>0:16:15</t>
  </si>
  <si>
    <t>0:14:36</t>
  </si>
  <si>
    <t>0:06:42</t>
  </si>
  <si>
    <t>0:08:14</t>
  </si>
  <si>
    <t>0:20:10</t>
  </si>
  <si>
    <t>9:26</t>
  </si>
  <si>
    <t>0:10:10</t>
  </si>
  <si>
    <t>0:16:53</t>
  </si>
  <si>
    <t>9:57</t>
  </si>
  <si>
    <t>0:08:28</t>
  </si>
  <si>
    <t>119:15:02</t>
  </si>
  <si>
    <t>8.5.2024</t>
  </si>
  <si>
    <t>9:45</t>
  </si>
  <si>
    <t>0:16:02</t>
  </si>
  <si>
    <t>0:03:06</t>
  </si>
  <si>
    <t>0:14:29</t>
  </si>
  <si>
    <t>484:01:18</t>
  </si>
  <si>
    <t>28.5.2024</t>
  </si>
  <si>
    <t>Turuntie 117, 23310 Taivassalo, FIN</t>
  </si>
  <si>
    <t>0:41:44</t>
  </si>
  <si>
    <t>0:42:36</t>
  </si>
  <si>
    <t>15:28</t>
  </si>
  <si>
    <t>16:10</t>
  </si>
  <si>
    <t>0:41:56</t>
  </si>
  <si>
    <t>18:12:32</t>
  </si>
  <si>
    <t>29.5.2024</t>
  </si>
  <si>
    <t>0:00:54</t>
  </si>
  <si>
    <t>0:04:55</t>
  </si>
  <si>
    <t>0:07:55</t>
  </si>
  <si>
    <t>120:15:21</t>
  </si>
  <si>
    <t>3.6.2024</t>
  </si>
  <si>
    <t>Kirkkoväärtinkuja 4, 21200 Raisio, FIN</t>
  </si>
  <si>
    <t>0:05:26</t>
  </si>
  <si>
    <t>0:33:37</t>
  </si>
  <si>
    <t>93:32:11</t>
  </si>
  <si>
    <t>7.6.2024</t>
  </si>
  <si>
    <t>0:09:51</t>
  </si>
  <si>
    <t>0:04:15</t>
  </si>
  <si>
    <t>0:04:52</t>
  </si>
  <si>
    <t>Kyntäjänkatu 1, 21280 Raisio, FIN</t>
  </si>
  <si>
    <t>0:12:21</t>
  </si>
  <si>
    <t>Allastie 3, 21200 Raisio, FIN</t>
  </si>
  <si>
    <t>0:00:17</t>
  </si>
  <si>
    <t>0:02:09</t>
  </si>
  <si>
    <t>10:26</t>
  </si>
  <si>
    <t>0:10:31</t>
  </si>
  <si>
    <t>6:38:42</t>
  </si>
  <si>
    <t>17:27</t>
  </si>
  <si>
    <t>17:44</t>
  </si>
  <si>
    <t>Uuhikuja 20, 21290 Rusko, FIN</t>
  </si>
  <si>
    <t>0:16:47</t>
  </si>
  <si>
    <t>15:05:42</t>
  </si>
  <si>
    <t>8.6.2024</t>
  </si>
  <si>
    <t>8:49</t>
  </si>
  <si>
    <t>8:58</t>
  </si>
  <si>
    <t>216:45:07</t>
  </si>
  <si>
    <t>17.6.2024</t>
  </si>
  <si>
    <t>Kytkinkatu 1, 20380 Turku, FIN</t>
  </si>
  <si>
    <t>0:15:28</t>
  </si>
  <si>
    <t>0:03:07</t>
  </si>
  <si>
    <t>0:11:38</t>
  </si>
  <si>
    <t>0:18:42</t>
  </si>
  <si>
    <t>Martinkatu 2a, 21200 Raisio, FIN</t>
  </si>
  <si>
    <t>0:08:59</t>
  </si>
  <si>
    <t>11:02</t>
  </si>
  <si>
    <t>24:06:56</t>
  </si>
  <si>
    <t>18.6.2024</t>
  </si>
  <si>
    <t>11:08</t>
  </si>
  <si>
    <t>11:15</t>
  </si>
  <si>
    <t>0:06:08</t>
  </si>
  <si>
    <t>11:54</t>
  </si>
  <si>
    <t>335:57:01</t>
  </si>
  <si>
    <t>2.7.2024</t>
  </si>
  <si>
    <t>11:51</t>
  </si>
  <si>
    <t>0:05:20</t>
  </si>
  <si>
    <t>0:29:27</t>
  </si>
  <si>
    <t>12:26</t>
  </si>
  <si>
    <t>12:32</t>
  </si>
  <si>
    <t>25:47:52</t>
  </si>
  <si>
    <t>3.7.2024</t>
  </si>
  <si>
    <t>14:20</t>
  </si>
  <si>
    <t>0:04:51</t>
  </si>
  <si>
    <t>0:00:39</t>
  </si>
  <si>
    <t>14:26</t>
  </si>
  <si>
    <t>0:04:59</t>
  </si>
  <si>
    <t>691:07:10</t>
  </si>
  <si>
    <t>1.8.2024</t>
  </si>
  <si>
    <t>0:27:08</t>
  </si>
  <si>
    <t>0:05:01</t>
  </si>
  <si>
    <t>1:46:43</t>
  </si>
  <si>
    <t>Kuninkaanväylä 31, 20320 Raisio, FIN</t>
  </si>
  <si>
    <t>12:20</t>
  </si>
  <si>
    <t>0:03:55</t>
  </si>
  <si>
    <t>0:26:58</t>
  </si>
  <si>
    <t>115:22:50</t>
  </si>
  <si>
    <t>6.8.2024</t>
  </si>
  <si>
    <t>8:42</t>
  </si>
  <si>
    <t>Läntinen Pitkäkatu 12 B, 20100 Turku, FIN</t>
  </si>
  <si>
    <t>0:15:52</t>
  </si>
  <si>
    <t>0:17:47</t>
  </si>
  <si>
    <t>0:14:32</t>
  </si>
  <si>
    <t>0:01:32</t>
  </si>
  <si>
    <t>0:06:17</t>
  </si>
  <si>
    <t>0:06:52</t>
  </si>
  <si>
    <t>0:07:20</t>
  </si>
  <si>
    <t>0:01:42</t>
  </si>
  <si>
    <t>0:06:09</t>
  </si>
  <si>
    <t>0:05:24</t>
  </si>
  <si>
    <t>Tuotekatu 18, 21200 Raisio, FIN</t>
  </si>
  <si>
    <t>0:22:01</t>
  </si>
  <si>
    <t>0:11:09</t>
  </si>
  <si>
    <t>27:12:39</t>
  </si>
  <si>
    <t>7.8.2024</t>
  </si>
  <si>
    <t>0:25:48</t>
  </si>
  <si>
    <t>0:28:30</t>
  </si>
  <si>
    <t>14:58</t>
  </si>
  <si>
    <t>15:01</t>
  </si>
  <si>
    <t>0:03:02</t>
  </si>
  <si>
    <t>0:21:44</t>
  </si>
  <si>
    <t>15:23</t>
  </si>
  <si>
    <t>EK3, Kunnaankatu 9, 21200 Raisio, FIN</t>
  </si>
  <si>
    <t>115:42:39</t>
  </si>
  <si>
    <t>12.8.2024</t>
  </si>
  <si>
    <t>0:35:14</t>
  </si>
  <si>
    <t>0:08:21</t>
  </si>
  <si>
    <t>20:10:31</t>
  </si>
  <si>
    <t>13.8.2024</t>
  </si>
  <si>
    <t>8:10</t>
  </si>
  <si>
    <t>0:46:43</t>
  </si>
  <si>
    <t>2:05:52</t>
  </si>
  <si>
    <t>0:07:56</t>
  </si>
  <si>
    <t>11:24</t>
  </si>
  <si>
    <t>11:32</t>
  </si>
  <si>
    <t>0:24:33</t>
  </si>
  <si>
    <t>11:57</t>
  </si>
  <si>
    <t>0:10:55</t>
  </si>
  <si>
    <t>0:08:44</t>
  </si>
  <si>
    <t>0:38:43</t>
  </si>
  <si>
    <t>0:09:22</t>
  </si>
  <si>
    <t>23:09:21</t>
  </si>
  <si>
    <t>14.8.2024</t>
  </si>
  <si>
    <t>0:06:32</t>
  </si>
  <si>
    <t>0:11:34</t>
  </si>
  <si>
    <t>19:24:50</t>
  </si>
  <si>
    <t>15.8.2024</t>
  </si>
  <si>
    <t>8:21</t>
  </si>
  <si>
    <t>0:16:12</t>
  </si>
  <si>
    <t>0:13:02</t>
  </si>
  <si>
    <t>4:53:37</t>
  </si>
  <si>
    <t>0:09:14</t>
  </si>
  <si>
    <t>0:15:22</t>
  </si>
  <si>
    <t>14:23</t>
  </si>
  <si>
    <t>94:45:08</t>
  </si>
  <si>
    <t>19.8.2024</t>
  </si>
  <si>
    <t>13:29</t>
  </si>
  <si>
    <t>20:50:32</t>
  </si>
  <si>
    <t>20.8.2024</t>
  </si>
  <si>
    <t>0:01:11</t>
  </si>
  <si>
    <t>0:06:15</t>
  </si>
  <si>
    <t>0:01:52</t>
  </si>
  <si>
    <t>Itäniityntie 13, 20320 Turku, FIN</t>
  </si>
  <si>
    <t>0:20:29</t>
  </si>
  <si>
    <t>11:14</t>
  </si>
  <si>
    <t>0:11:28</t>
  </si>
  <si>
    <t>0:06:44</t>
  </si>
  <si>
    <t>0:03:04</t>
  </si>
  <si>
    <t>11:42</t>
  </si>
  <si>
    <t>11:52</t>
  </si>
  <si>
    <t>0:09:43</t>
  </si>
  <si>
    <t>0:14:16</t>
  </si>
  <si>
    <t>12:06</t>
  </si>
  <si>
    <t>20:39:49</t>
  </si>
  <si>
    <t>21.8.2024</t>
  </si>
  <si>
    <t>Tasalanaukio 10, 21200 Raisio, FIN</t>
  </si>
  <si>
    <t>0:02:34</t>
  </si>
  <si>
    <t>Raisiontori 6, 21200 Raisio, FIN</t>
  </si>
  <si>
    <t>Tuotekatu 19, 21200 Raisio, FIN</t>
  </si>
  <si>
    <t>0:00:07</t>
  </si>
  <si>
    <t>0:08:27</t>
  </si>
  <si>
    <t>48:26:09</t>
  </si>
  <si>
    <t>23.8.2024</t>
  </si>
  <si>
    <t>0:06:25</t>
  </si>
  <si>
    <t>Varastomiehenkatu 6, 20780 Kaarina, FIN</t>
  </si>
  <si>
    <t>0:20:39</t>
  </si>
  <si>
    <t>0:15:53</t>
  </si>
  <si>
    <t>0:15:45</t>
  </si>
  <si>
    <t>0:04:34</t>
  </si>
  <si>
    <t>0:01:03</t>
  </si>
  <si>
    <t>0:07:49</t>
  </si>
  <si>
    <t>0:04:50</t>
  </si>
  <si>
    <t>2:06:13</t>
  </si>
  <si>
    <t>13:27</t>
  </si>
  <si>
    <t>2:24:56</t>
  </si>
  <si>
    <t>16:29</t>
  </si>
  <si>
    <t>16:45</t>
  </si>
  <si>
    <t>0:15:55</t>
  </si>
  <si>
    <t>16:51</t>
  </si>
  <si>
    <t>17:02</t>
  </si>
  <si>
    <t>0:15:33</t>
  </si>
  <si>
    <t>17:18</t>
  </si>
  <si>
    <t>17:28</t>
  </si>
  <si>
    <t>62:59:57</t>
  </si>
  <si>
    <t>26.8.2024</t>
  </si>
  <si>
    <t>0:12:04</t>
  </si>
  <si>
    <t>0:17:06</t>
  </si>
  <si>
    <t>1:22:16</t>
  </si>
  <si>
    <t>0:07:30</t>
  </si>
  <si>
    <t>0:04:39</t>
  </si>
  <si>
    <t>0:07:18</t>
  </si>
  <si>
    <t>2:06:19</t>
  </si>
  <si>
    <t>12:47</t>
  </si>
  <si>
    <t>1:38:54</t>
  </si>
  <si>
    <t>14:56</t>
  </si>
  <si>
    <t>0:12:32</t>
  </si>
  <si>
    <t>0:23:51</t>
  </si>
  <si>
    <t>15:20</t>
  </si>
  <si>
    <t>46:04:55</t>
  </si>
  <si>
    <t>28.8.2024</t>
  </si>
  <si>
    <t>13:42</t>
  </si>
  <si>
    <t>0:11:18</t>
  </si>
  <si>
    <t>0:04:05</t>
  </si>
  <si>
    <t>0:20:15</t>
  </si>
  <si>
    <t>14:33</t>
  </si>
  <si>
    <t>0:10:13</t>
  </si>
  <si>
    <t>19:03:29</t>
  </si>
  <si>
    <t>29.8.2024</t>
  </si>
  <si>
    <t>9:51</t>
  </si>
  <si>
    <t>0:14:02</t>
  </si>
  <si>
    <t>0:17:43</t>
  </si>
  <si>
    <t>0:13:24</t>
  </si>
  <si>
    <t>1:58:31</t>
  </si>
  <si>
    <t>0:12:53</t>
  </si>
  <si>
    <t>1:01:44</t>
  </si>
  <si>
    <t>14:15</t>
  </si>
  <si>
    <t>14:27</t>
  </si>
  <si>
    <t>0:28:45</t>
  </si>
  <si>
    <t>15:09</t>
  </si>
  <si>
    <t>0:12:42</t>
  </si>
  <si>
    <t>19:17:39</t>
  </si>
  <si>
    <t>30.8.2024</t>
  </si>
  <si>
    <t>0:16:50</t>
  </si>
  <si>
    <t>0:10:14</t>
  </si>
  <si>
    <t>70:27:19</t>
  </si>
  <si>
    <t>2.9.2024</t>
  </si>
  <si>
    <t>0:00:59</t>
  </si>
  <si>
    <t>0:04:19</t>
  </si>
  <si>
    <t>0:13:01</t>
  </si>
  <si>
    <t>23:17:11</t>
  </si>
  <si>
    <t>3.9.2024</t>
  </si>
  <si>
    <t>9:30</t>
  </si>
  <si>
    <t>Vajossuonkatu 7, 20360 Turku, FIN</t>
  </si>
  <si>
    <t>0:02:07</t>
  </si>
  <si>
    <t>2:07:14</t>
  </si>
  <si>
    <t>Tuotekatu 10, 21200 Raisio, FIN</t>
  </si>
  <si>
    <t>0:08:45</t>
  </si>
  <si>
    <t>0:20:24</t>
  </si>
  <si>
    <t>0:07:17</t>
  </si>
  <si>
    <t>0:02:18</t>
  </si>
  <si>
    <t>13:06</t>
  </si>
  <si>
    <t>0:11:03</t>
  </si>
  <si>
    <t>43:09:48</t>
  </si>
  <si>
    <t>5.9.2024</t>
  </si>
  <si>
    <t>0:11:53</t>
  </si>
  <si>
    <t>0:16:41</t>
  </si>
  <si>
    <t>0:10:47</t>
  </si>
  <si>
    <t>23:28:15</t>
  </si>
  <si>
    <t>6.9.2024</t>
  </si>
  <si>
    <t>0:13:45</t>
  </si>
  <si>
    <t>0:17:54</t>
  </si>
  <si>
    <t>9:33</t>
  </si>
  <si>
    <t>2:57:48</t>
  </si>
  <si>
    <t>12:40</t>
  </si>
  <si>
    <t>0:10:01</t>
  </si>
  <si>
    <t>0:03:53</t>
  </si>
  <si>
    <t>92:38:18</t>
  </si>
  <si>
    <t>10.9.2024</t>
  </si>
  <si>
    <t>0:13:39</t>
  </si>
  <si>
    <t>9:54</t>
  </si>
  <si>
    <t>0:05:38</t>
  </si>
  <si>
    <t>0:11:11</t>
  </si>
  <si>
    <t>0:01:56</t>
  </si>
  <si>
    <t>0:15:00</t>
  </si>
  <si>
    <t>0:00:22</t>
  </si>
  <si>
    <t>1:13:58</t>
  </si>
  <si>
    <t>0:02:46</t>
  </si>
  <si>
    <t>2:54:58</t>
  </si>
  <si>
    <t>15:44</t>
  </si>
  <si>
    <t>15:59</t>
  </si>
  <si>
    <t>0:14:47</t>
  </si>
  <si>
    <t>0:01:10</t>
  </si>
  <si>
    <t>16:00</t>
  </si>
  <si>
    <t>16:13</t>
  </si>
  <si>
    <t>0:12:51</t>
  </si>
  <si>
    <t>20:11:38</t>
  </si>
  <si>
    <t>11.9.2024</t>
  </si>
  <si>
    <t>Tammimäenkatu 4, 20320 Raisio, FIN</t>
  </si>
  <si>
    <t>0:12:59</t>
  </si>
  <si>
    <t>Avantintie 20, 21420 Lieto, FIN</t>
  </si>
  <si>
    <t>0:16:42</t>
  </si>
  <si>
    <t>0:05:47</t>
  </si>
  <si>
    <t>0:25:26</t>
  </si>
  <si>
    <t>20:03:28</t>
  </si>
  <si>
    <t>12.9.2024</t>
  </si>
  <si>
    <t>0:09:34</t>
  </si>
  <si>
    <t>0:07:58</t>
  </si>
  <si>
    <t>0:08:39</t>
  </si>
  <si>
    <t>0:09:16</t>
  </si>
  <si>
    <t>0:20:09</t>
  </si>
  <si>
    <t>1:27:50</t>
  </si>
  <si>
    <t>12:22</t>
  </si>
  <si>
    <t>0:13:04</t>
  </si>
  <si>
    <t>167:19:57</t>
  </si>
  <si>
    <t>19.9.2024</t>
  </si>
  <si>
    <t>0:15:25</t>
  </si>
  <si>
    <t>0:16:13</t>
  </si>
  <si>
    <t>0:09:27</t>
  </si>
  <si>
    <t>0:20:41</t>
  </si>
  <si>
    <t>0:10:09</t>
  </si>
  <si>
    <t>13:50</t>
  </si>
  <si>
    <t>0:22:24</t>
  </si>
  <si>
    <t>0:28:23</t>
  </si>
  <si>
    <t>14:19</t>
  </si>
  <si>
    <t>EK3, 21200 Raisio, FIN</t>
  </si>
  <si>
    <t>2:45:25</t>
  </si>
  <si>
    <t>17:15</t>
  </si>
  <si>
    <t>17:20</t>
  </si>
  <si>
    <t>0:04:32</t>
  </si>
  <si>
    <t>14:52:07</t>
  </si>
  <si>
    <t>20.9.2024</t>
  </si>
  <si>
    <t>8:12</t>
  </si>
  <si>
    <t>8:20</t>
  </si>
  <si>
    <t>265:18:10</t>
  </si>
  <si>
    <t>1.10.2024</t>
  </si>
  <si>
    <t>0:12:15</t>
  </si>
  <si>
    <t>0:07:22</t>
  </si>
  <si>
    <t>26:37:37</t>
  </si>
  <si>
    <t>2.10.2024</t>
  </si>
  <si>
    <t>20:39:50</t>
  </si>
  <si>
    <t>3.10.2024</t>
  </si>
  <si>
    <t>0:01:49</t>
  </si>
  <si>
    <t>1:05:14</t>
  </si>
  <si>
    <t>11:29</t>
  </si>
  <si>
    <t>Ratatie 1, 21250 Masku, FIN</t>
  </si>
  <si>
    <t>0:13:19</t>
  </si>
  <si>
    <t>0:00:31</t>
  </si>
  <si>
    <t>Ratatie 2, 21250 Masku, FIN</t>
  </si>
  <si>
    <t>0:13:26</t>
  </si>
  <si>
    <t>0:41:17</t>
  </si>
  <si>
    <t>0:05:51</t>
  </si>
  <si>
    <t>0:01:51</t>
  </si>
  <si>
    <t>0:07:03</t>
  </si>
  <si>
    <t>93:38:34</t>
  </si>
  <si>
    <t>7.10.2024</t>
  </si>
  <si>
    <t>0:08:29</t>
  </si>
  <si>
    <t>0:00:35</t>
  </si>
  <si>
    <t>10:27</t>
  </si>
  <si>
    <t>0:01:13</t>
  </si>
  <si>
    <t>0:05:48</t>
  </si>
  <si>
    <t>21:45:00</t>
  </si>
  <si>
    <t>8.10.2024</t>
  </si>
  <si>
    <t>Helsinginkatu 27, 20100 Turku, FIN</t>
  </si>
  <si>
    <t>Härkämäki 1, 20250 Turku, FIN</t>
  </si>
  <si>
    <t>0:08:00</t>
  </si>
  <si>
    <t>3:05:24</t>
  </si>
  <si>
    <t>12:50</t>
  </si>
  <si>
    <t>Eteläkaari 6, 21420 Lieto, FIN</t>
  </si>
  <si>
    <t>0:16:55</t>
  </si>
  <si>
    <t>0:15:31</t>
  </si>
  <si>
    <t>19:53:59</t>
  </si>
  <si>
    <t>9.10.2024</t>
  </si>
  <si>
    <t>Verstaskatu 1, 20360 Turku, FIN</t>
  </si>
  <si>
    <t>0:45:10</t>
  </si>
  <si>
    <t>0:09:00</t>
  </si>
  <si>
    <t>0:09:08</t>
  </si>
  <si>
    <t>2:03:39</t>
  </si>
  <si>
    <t>0:29:33</t>
  </si>
  <si>
    <t>0:41:11</t>
  </si>
  <si>
    <t>0:19:05</t>
  </si>
  <si>
    <t>0:17:44</t>
  </si>
  <si>
    <t>0:32:50</t>
  </si>
  <si>
    <t>14:48</t>
  </si>
  <si>
    <t>15:11</t>
  </si>
  <si>
    <t>0:22:31</t>
  </si>
  <si>
    <t>21:52:09</t>
  </si>
  <si>
    <t>10.10.2024</t>
  </si>
  <si>
    <t>0:10:40</t>
  </si>
  <si>
    <t>0:09:38</t>
  </si>
  <si>
    <t>13:23</t>
  </si>
  <si>
    <t>13:36</t>
  </si>
  <si>
    <t>259:12:46</t>
  </si>
  <si>
    <t>21.10.2024</t>
  </si>
  <si>
    <t>0:07:33</t>
  </si>
  <si>
    <t>9:25</t>
  </si>
  <si>
    <t>Tiemestarinkatu 5, 20360 Turku, FIN</t>
  </si>
  <si>
    <t>0:13:12</t>
  </si>
  <si>
    <t>2:27:50</t>
  </si>
  <si>
    <t>25:26:54</t>
  </si>
  <si>
    <t>22.10.2024</t>
  </si>
  <si>
    <t>14:29</t>
  </si>
  <si>
    <t>0:25:44</t>
  </si>
  <si>
    <t>14:55</t>
  </si>
  <si>
    <t>Tasalanaukio 5 B, 21200 Raisio, FIN</t>
  </si>
  <si>
    <t>0:06:23</t>
  </si>
  <si>
    <t>15:07</t>
  </si>
  <si>
    <t>15:14</t>
  </si>
  <si>
    <t>0:06:39</t>
  </si>
  <si>
    <t>66:57:46</t>
  </si>
  <si>
    <t>25.10.2024</t>
  </si>
  <si>
    <t>0:05:10</t>
  </si>
  <si>
    <t>0:06:06</t>
  </si>
  <si>
    <t>0:01:34</t>
  </si>
  <si>
    <t>0:10:29</t>
  </si>
  <si>
    <t>1:48:47</t>
  </si>
  <si>
    <t>0:12:36</t>
  </si>
  <si>
    <t>0:02:13</t>
  </si>
  <si>
    <t>68:03:11</t>
  </si>
  <si>
    <t>28.10.2024</t>
  </si>
  <si>
    <t>8:15</t>
  </si>
  <si>
    <t>0:02:55</t>
  </si>
  <si>
    <t>8:32</t>
  </si>
  <si>
    <t>2:22:11</t>
  </si>
  <si>
    <t>0:33:22</t>
  </si>
  <si>
    <t>11:58</t>
  </si>
  <si>
    <t>0:22:53</t>
  </si>
  <si>
    <t>Autokatu 1, 20380 Turku, FIN</t>
  </si>
  <si>
    <t>0:12:06</t>
  </si>
  <si>
    <t>Nikkarinkatu 3, 21280 Raisio, FIN</t>
  </si>
  <si>
    <t>0:13:08</t>
  </si>
  <si>
    <t>0:06:38</t>
  </si>
  <si>
    <t>20:32:24</t>
  </si>
  <si>
    <t>29.10.2024</t>
  </si>
  <si>
    <t>0:13:15</t>
  </si>
  <si>
    <t>0:00:03</t>
  </si>
  <si>
    <t>0:13:27</t>
  </si>
  <si>
    <t>2:06:28</t>
  </si>
  <si>
    <t>0:23:16</t>
  </si>
  <si>
    <t>20:30:56</t>
  </si>
  <si>
    <t>30.10.2024</t>
  </si>
  <si>
    <t>0:09:13</t>
  </si>
  <si>
    <t>0:22:00</t>
  </si>
  <si>
    <t>0:09:41</t>
  </si>
  <si>
    <t>3:59:03</t>
  </si>
  <si>
    <t>0:10:58</t>
  </si>
  <si>
    <t>0:10:50</t>
  </si>
  <si>
    <t>18:09:09</t>
  </si>
  <si>
    <t>31.10.2024</t>
  </si>
  <si>
    <t>8:33</t>
  </si>
  <si>
    <t>0:07:25</t>
  </si>
  <si>
    <t>0:09:48</t>
  </si>
  <si>
    <t>98:14:21</t>
  </si>
  <si>
    <t>4.11.2024</t>
  </si>
  <si>
    <t>Kuloistentie 1, 21280 Raisio, FIN</t>
  </si>
  <si>
    <t>0:06:35</t>
  </si>
  <si>
    <t>0:08:22</t>
  </si>
  <si>
    <t>12:03</t>
  </si>
  <si>
    <t>22:03:47</t>
  </si>
  <si>
    <t>5.11.2024</t>
  </si>
  <si>
    <t>0:10:22</t>
  </si>
  <si>
    <t>0:12:41</t>
  </si>
  <si>
    <t>0:39:55</t>
  </si>
  <si>
    <t>0:06:36</t>
  </si>
  <si>
    <t>11:25</t>
  </si>
  <si>
    <t>0:07:43</t>
  </si>
  <si>
    <t>51:20:22</t>
  </si>
  <si>
    <t>7.11.2024</t>
  </si>
  <si>
    <t>14:53</t>
  </si>
  <si>
    <t>15:03</t>
  </si>
  <si>
    <t>0:04:25</t>
  </si>
  <si>
    <t>15:18</t>
  </si>
  <si>
    <t>0:10:46</t>
  </si>
  <si>
    <t>120:45:41</t>
  </si>
  <si>
    <t>12.11.2024</t>
  </si>
  <si>
    <t>16:04</t>
  </si>
  <si>
    <t>16:16</t>
  </si>
  <si>
    <t>0:11:50</t>
  </si>
  <si>
    <t>0:01:45</t>
  </si>
  <si>
    <t>16:18</t>
  </si>
  <si>
    <t>16:24</t>
  </si>
  <si>
    <t>0:06:04</t>
  </si>
  <si>
    <t>16:31</t>
  </si>
  <si>
    <t>16:46</t>
  </si>
  <si>
    <t>0:15:14</t>
  </si>
  <si>
    <t>44:21:42</t>
  </si>
  <si>
    <t>14.11.2024</t>
  </si>
  <si>
    <t>Sitomokuja 3, 21200 Raisio, FIN</t>
  </si>
  <si>
    <t>0:13:00</t>
  </si>
  <si>
    <t>116:06:52</t>
  </si>
  <si>
    <t>19.11.2024</t>
  </si>
  <si>
    <t>0:03:25</t>
  </si>
  <si>
    <t>Martinkatu 2b, 21200 Raisio, FIN</t>
  </si>
  <si>
    <t>0:05:42</t>
  </si>
  <si>
    <t>0:14:14</t>
  </si>
  <si>
    <t>22:55:35</t>
  </si>
  <si>
    <t>20.11.2024</t>
  </si>
  <si>
    <t>0:08:08</t>
  </si>
  <si>
    <t>0:06:16</t>
  </si>
  <si>
    <t>2:43:06</t>
  </si>
  <si>
    <t>13:14</t>
  </si>
  <si>
    <t>0:05:03</t>
  </si>
  <si>
    <t>0:03:50</t>
  </si>
  <si>
    <t>Kyläpajankatu 1, 21200 Raisio, FIN</t>
  </si>
  <si>
    <t>20:20:13</t>
  </si>
  <si>
    <t>21.11.2024</t>
  </si>
  <si>
    <t>Korjasmäenkatu 1, 20360 Turku, FIN</t>
  </si>
  <si>
    <t>0:20:04</t>
  </si>
  <si>
    <t>0:04:06</t>
  </si>
  <si>
    <t>0:14:58</t>
  </si>
  <si>
    <t>0:40:21</t>
  </si>
  <si>
    <t>0:04:37</t>
  </si>
  <si>
    <t>0:22:52</t>
  </si>
  <si>
    <t>11:36</t>
  </si>
  <si>
    <t>0:26:49</t>
  </si>
  <si>
    <t>0:02:10</t>
  </si>
  <si>
    <t>0:15:03</t>
  </si>
  <si>
    <t>0:19:11</t>
  </si>
  <si>
    <t>19:58:46</t>
  </si>
  <si>
    <t>22.11.2024</t>
  </si>
  <si>
    <t>0:03:39</t>
  </si>
  <si>
    <t>0:15:39</t>
  </si>
  <si>
    <t>0:06:46</t>
  </si>
  <si>
    <t>0:07:45</t>
  </si>
  <si>
    <t>0:46:38</t>
  </si>
  <si>
    <t>0:05:19</t>
  </si>
  <si>
    <t>0:19:19</t>
  </si>
  <si>
    <t>Kolmikesäläntie 2 c, 21420 Lieto, FIN</t>
  </si>
  <si>
    <t>0:15:09</t>
  </si>
  <si>
    <t>0:00:55</t>
  </si>
  <si>
    <t>0:00:57</t>
  </si>
  <si>
    <t>0:03:09</t>
  </si>
  <si>
    <t>77:15:24</t>
  </si>
  <si>
    <t>25.11.2024</t>
  </si>
  <si>
    <t>17:54</t>
  </si>
  <si>
    <t>18:03</t>
  </si>
  <si>
    <t>0:08:52</t>
  </si>
  <si>
    <t>18:12</t>
  </si>
  <si>
    <t>18:23</t>
  </si>
  <si>
    <t>15:29:08</t>
  </si>
  <si>
    <t>26.11.2024</t>
  </si>
  <si>
    <t>0:11:12</t>
  </si>
  <si>
    <t>0:11:13</t>
  </si>
  <si>
    <t>0:10:42</t>
  </si>
  <si>
    <t>1:21:10</t>
  </si>
  <si>
    <t>0:08:11</t>
  </si>
  <si>
    <t>Vajossuonkatu 7b, 20360 Turku, FIN</t>
  </si>
  <si>
    <t>20:53:03</t>
  </si>
  <si>
    <t>27.11.2024</t>
  </si>
  <si>
    <t>0:07:31</t>
  </si>
  <si>
    <t>0:15:06</t>
  </si>
  <si>
    <t>2:45:02</t>
  </si>
  <si>
    <t>18:50:54</t>
  </si>
  <si>
    <t>28.11.2024</t>
  </si>
  <si>
    <t>0:18:05</t>
  </si>
  <si>
    <t>8:46</t>
  </si>
  <si>
    <t>24:42:03</t>
  </si>
  <si>
    <t>29.11.2024</t>
  </si>
  <si>
    <t>9:40</t>
  </si>
  <si>
    <t>Satakunnantie 164, 20320 Turku, FIN</t>
  </si>
  <si>
    <t>0:08:33</t>
  </si>
  <si>
    <t>0:33:08</t>
  </si>
  <si>
    <t>0:00:36</t>
  </si>
  <si>
    <t>69:47:46</t>
  </si>
  <si>
    <t>2.12.2024</t>
  </si>
  <si>
    <t>8:23</t>
  </si>
  <si>
    <t>Kuninkaanväylä 10, 20320 Raisio, FIN</t>
  </si>
  <si>
    <t>0:06:00</t>
  </si>
  <si>
    <t>Tuotekatu 8b, 21200 Aura, FIN</t>
  </si>
  <si>
    <t>Tuotekatu 8b, 21200 Raisio, FIN</t>
  </si>
  <si>
    <t>Rieskalähteentie 75, 20300 Turku, FIN</t>
  </si>
  <si>
    <t>0:03:41</t>
  </si>
  <si>
    <t>46:58:43</t>
  </si>
  <si>
    <t>4.12.2024</t>
  </si>
  <si>
    <t>Uimarannantie 1, 21420 Lieto, FIN</t>
  </si>
  <si>
    <t>0:08:40</t>
  </si>
  <si>
    <t>9:01</t>
  </si>
  <si>
    <t>0:00:25</t>
  </si>
  <si>
    <t>1:00:26</t>
  </si>
  <si>
    <t>Raumantie 49, 21200 Raisio, FIN</t>
  </si>
  <si>
    <t>0:03:20</t>
  </si>
  <si>
    <t>Raumantie 51, 21200 Raisio, FIN</t>
  </si>
  <si>
    <t>21:49:25</t>
  </si>
  <si>
    <t>5.12.2024</t>
  </si>
  <si>
    <t>8:19</t>
  </si>
  <si>
    <t>0:09:04</t>
  </si>
  <si>
    <t>0:20:14</t>
  </si>
  <si>
    <t>0:05:33</t>
  </si>
  <si>
    <t>1:23:44</t>
  </si>
  <si>
    <t>Pajakatu 3, 20320 Raisio, FIN</t>
  </si>
  <si>
    <t>0:09:37</t>
  </si>
  <si>
    <t>95:35:51</t>
  </si>
  <si>
    <t>9.12.2024</t>
  </si>
  <si>
    <t>0:16:57</t>
  </si>
  <si>
    <t>0:00:05</t>
  </si>
  <si>
    <t>0:19:25</t>
  </si>
  <si>
    <t>25:08:57</t>
  </si>
  <si>
    <t>10.12.2024</t>
  </si>
  <si>
    <t>0:10:44</t>
  </si>
  <si>
    <t>0:00:37</t>
  </si>
  <si>
    <t>21:49:39</t>
  </si>
  <si>
    <t>11.12.2024</t>
  </si>
  <si>
    <t>10:51</t>
  </si>
  <si>
    <t>0:14:26</t>
  </si>
  <si>
    <t>3:15:07</t>
  </si>
  <si>
    <t>0:06:29</t>
  </si>
  <si>
    <t>0:10:30</t>
  </si>
  <si>
    <t>45:14:07</t>
  </si>
  <si>
    <t>13.12.2024</t>
  </si>
  <si>
    <t>Vuorelankatu 7, 20320 Turku, FIN</t>
  </si>
  <si>
    <t>0:10:18</t>
  </si>
  <si>
    <t>0:04:30</t>
  </si>
  <si>
    <t>0:11:44</t>
  </si>
  <si>
    <t>68:55:21</t>
  </si>
  <si>
    <t>16.12.2024</t>
  </si>
  <si>
    <t>22:57:38</t>
  </si>
  <si>
    <t>17.12.2024</t>
  </si>
  <si>
    <t>9:11</t>
  </si>
  <si>
    <t>9:20</t>
  </si>
  <si>
    <t>0:09:59</t>
  </si>
  <si>
    <t>26:42:15</t>
  </si>
  <si>
    <t>18.12.2024</t>
  </si>
  <si>
    <t>Raikonkuja 3, 20320 Turku, FIN</t>
  </si>
  <si>
    <t>0:03:38</t>
  </si>
  <si>
    <t>Liekakatu 4, 20380 Turku, FIN</t>
  </si>
  <si>
    <t>Kuninkaanväylä 19, 20320 Raisio, FIN</t>
  </si>
  <si>
    <t>0:10:41</t>
  </si>
  <si>
    <t>0:14:44</t>
  </si>
  <si>
    <t>0:17:28</t>
  </si>
  <si>
    <t>19:57:09</t>
  </si>
  <si>
    <t>19.12.2024</t>
  </si>
  <si>
    <t>0:29:40</t>
  </si>
  <si>
    <t>90:18:41</t>
  </si>
  <si>
    <t>8283:40:18</t>
  </si>
  <si>
    <t>7.1.2025</t>
  </si>
  <si>
    <t>0:35:08</t>
  </si>
  <si>
    <t>23:06:11</t>
  </si>
  <si>
    <t>8.1.2025</t>
  </si>
  <si>
    <t>Piilipuunkatu 4, 21200 Raisio, FIN</t>
  </si>
  <si>
    <t>0:02:41</t>
  </si>
  <si>
    <t>24:24:44</t>
  </si>
  <si>
    <t>9.1.2025</t>
  </si>
  <si>
    <t>0:02:00</t>
  </si>
  <si>
    <t>0:13:21</t>
  </si>
  <si>
    <t>0:38:33</t>
  </si>
  <si>
    <t>0:07:42</t>
  </si>
  <si>
    <t>0:45:02</t>
  </si>
  <si>
    <t>0:05:50</t>
  </si>
  <si>
    <t>22:10:33</t>
  </si>
  <si>
    <t>10.1.2025</t>
  </si>
  <si>
    <t>0:05:15</t>
  </si>
  <si>
    <t>70:15:28</t>
  </si>
  <si>
    <t>13.1.2025</t>
  </si>
  <si>
    <t>Tammikuja 4, 21260 Raisio, FIN</t>
  </si>
  <si>
    <t>0:10:07</t>
  </si>
  <si>
    <t>1:12:46</t>
  </si>
  <si>
    <t>0:23:26</t>
  </si>
  <si>
    <t>Peltopohjankatu 34, 21280 Raisio, FIN</t>
  </si>
  <si>
    <t>0:07:23</t>
  </si>
  <si>
    <t>0:09:15</t>
  </si>
  <si>
    <t>0:09:09</t>
  </si>
  <si>
    <t>1:01:34</t>
  </si>
  <si>
    <t>0:18:24</t>
  </si>
  <si>
    <t>67:34:35</t>
  </si>
  <si>
    <t>lahtopaiva</t>
  </si>
  <si>
    <t>lahtoaika</t>
  </si>
  <si>
    <t>lahto_osoite</t>
  </si>
  <si>
    <t>lahtomittari</t>
  </si>
  <si>
    <t>tarkoitus</t>
  </si>
  <si>
    <t>kuljettaja</t>
  </si>
  <si>
    <t>paluupaiva</t>
  </si>
  <si>
    <t>paluuosoite</t>
  </si>
  <si>
    <t>paluumittari</t>
  </si>
  <si>
    <t>ajoaika</t>
  </si>
  <si>
    <t>paikallaanaika</t>
  </si>
  <si>
    <t>lpvm</t>
  </si>
  <si>
    <t>laika</t>
  </si>
  <si>
    <t>ppvm</t>
  </si>
  <si>
    <t>paika</t>
  </si>
  <si>
    <t>isolpvm</t>
  </si>
  <si>
    <t>lainaus</t>
  </si>
  <si>
    <t>palautus</t>
  </si>
  <si>
    <t>paluuaika</t>
  </si>
  <si>
    <t>a_aika</t>
  </si>
  <si>
    <t>p_aika</t>
  </si>
  <si>
    <t>ajotunnit</t>
  </si>
  <si>
    <t>ajominuutit</t>
  </si>
  <si>
    <t>ajosekunnit</t>
  </si>
  <si>
    <t>ptunnit</t>
  </si>
  <si>
    <t>pminuutit</t>
  </si>
  <si>
    <t>psekunnit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</si>
</sst>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&quot;###0"/>
    <numFmt numFmtId="165" formatCode="&quot;&quot;0.#"/>
    <numFmt numFmtId="166" formatCode="&quot;&quot;0.000"/>
    <numFmt numFmtId="167" formatCode="[$-101040B]h:mm:ss"/>
    <numFmt numFmtId="168" formatCode="[$-F400]h:mm:ss\ AM/PM"/>
    <numFmt numFmtId="169" formatCode="0.0"/>
    <numFmt numFmtId="170" formatCode="yyyy\-mm\-dd;@"/>
    <numFmt numFmtId="171" formatCode="yyyy\-mm\-dd\ hh:mm;@"/>
  </numFmts>
  <fonts count="9">
    <font>
      <sz val="11"/>
      <color indexed="64"/>
      <name val="Aptos Narrow"/>
      <scheme val="minor"/>
    </font>
    <font>
      <b/>
      <sz val="12"/>
      <color indexed="64"/>
      <name val="Arial"/>
    </font>
    <font>
      <b/>
      <sz val="10"/>
      <color indexed="64"/>
      <name val="Arial"/>
    </font>
    <font>
      <sz val="11"/>
      <name val="Calibri"/>
    </font>
    <font>
      <sz val="10"/>
      <color indexed="64"/>
      <name val="Arial"/>
    </font>
    <font>
      <sz val="11"/>
      <color indexed="64"/>
      <name val="Aptos Narrow"/>
      <scheme val="minor"/>
    </font>
    <font>
      <sz val="11"/>
      <color rgb="FF242424"/>
      <name val="Aptos Narrow"/>
    </font>
    <font>
      <sz val="10"/>
      <color indexed="64"/>
      <name val="Arial"/>
      <family val="2"/>
    </font>
    <font>
      <b/>
      <sz val="10"/>
      <color indexed="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none">
        <fgColor rgb="FFE5E5E5"/>
      </patternFill>
    </fill>
    <fill>
      <patternFill patternType="solid">
        <fgColor rgb="FFE5E5E5"/>
      </patternFill>
    </fill>
    <fill>
      <patternFill patternType="solid">
        <fgColor rgb="FFD2D2D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3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2" fillId="0" borderId="0" xfId="0" applyFont="1"/>
    <xf numFmtId="0" fontId="4" fillId="0" borderId="0" xfId="0" applyFont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/>
    <xf numFmtId="0" fontId="5" fillId="3" borderId="0" xfId="1"/>
    <xf numFmtId="0" fontId="4" fillId="3" borderId="1" xfId="1" applyFont="1" applyBorder="1"/>
    <xf numFmtId="0" fontId="4" fillId="3" borderId="0" xfId="1" applyFont="1"/>
    <xf numFmtId="166" fontId="4" fillId="3" borderId="1" xfId="1" applyNumberFormat="1" applyFont="1" applyBorder="1"/>
    <xf numFmtId="165" fontId="4" fillId="3" borderId="1" xfId="1" applyNumberFormat="1" applyFont="1" applyBorder="1"/>
    <xf numFmtId="167" fontId="4" fillId="3" borderId="1" xfId="1" applyNumberFormat="1" applyFont="1" applyBorder="1"/>
    <xf numFmtId="166" fontId="4" fillId="3" borderId="0" xfId="1" applyNumberFormat="1" applyFont="1"/>
    <xf numFmtId="165" fontId="4" fillId="3" borderId="0" xfId="1" applyNumberFormat="1" applyFont="1"/>
    <xf numFmtId="164" fontId="4" fillId="3" borderId="0" xfId="1" applyNumberFormat="1" applyFont="1"/>
    <xf numFmtId="0" fontId="4" fillId="4" borderId="0" xfId="1" applyFont="1" applyFill="1"/>
    <xf numFmtId="166" fontId="4" fillId="4" borderId="0" xfId="1" applyNumberFormat="1" applyFont="1" applyFill="1"/>
    <xf numFmtId="165" fontId="4" fillId="4" borderId="0" xfId="1" applyNumberFormat="1" applyFont="1" applyFill="1"/>
    <xf numFmtId="164" fontId="4" fillId="4" borderId="0" xfId="1" applyNumberFormat="1" applyFont="1" applyFill="1"/>
    <xf numFmtId="0" fontId="2" fillId="3" borderId="0" xfId="1" applyFont="1"/>
    <xf numFmtId="0" fontId="2" fillId="2" borderId="1" xfId="1" applyFont="1" applyFill="1" applyBorder="1" applyAlignment="1">
      <alignment horizontal="left"/>
    </xf>
    <xf numFmtId="0" fontId="4" fillId="2" borderId="1" xfId="1" applyFont="1" applyFill="1" applyBorder="1"/>
    <xf numFmtId="0" fontId="2" fillId="2" borderId="1" xfId="1" applyFont="1" applyFill="1" applyBorder="1"/>
    <xf numFmtId="0" fontId="1" fillId="3" borderId="0" xfId="1" applyFont="1"/>
    <xf numFmtId="0" fontId="6" fillId="0" borderId="0" xfId="0" applyFont="1"/>
    <xf numFmtId="0" fontId="2" fillId="2" borderId="4" xfId="1" applyFont="1" applyFill="1" applyBorder="1" applyAlignment="1">
      <alignment horizontal="left"/>
    </xf>
    <xf numFmtId="0" fontId="2" fillId="2" borderId="4" xfId="1" applyFont="1" applyFill="1" applyBorder="1"/>
    <xf numFmtId="14" fontId="2" fillId="2" borderId="4" xfId="1" applyNumberFormat="1" applyFont="1" applyFill="1" applyBorder="1" applyAlignment="1">
      <alignment horizontal="left"/>
    </xf>
    <xf numFmtId="14" fontId="4" fillId="4" borderId="0" xfId="1" applyNumberFormat="1" applyFont="1" applyFill="1"/>
    <xf numFmtId="14" fontId="4" fillId="3" borderId="0" xfId="1" applyNumberFormat="1" applyFont="1"/>
    <xf numFmtId="14" fontId="5" fillId="3" borderId="0" xfId="1" applyNumberFormat="1"/>
    <xf numFmtId="168" fontId="2" fillId="2" borderId="4" xfId="1" applyNumberFormat="1" applyFont="1" applyFill="1" applyBorder="1" applyAlignment="1">
      <alignment horizontal="left"/>
    </xf>
    <xf numFmtId="168" fontId="4" fillId="4" borderId="0" xfId="1" applyNumberFormat="1" applyFont="1" applyFill="1"/>
    <xf numFmtId="168" fontId="4" fillId="3" borderId="0" xfId="1" applyNumberFormat="1" applyFont="1"/>
    <xf numFmtId="168" fontId="5" fillId="3" borderId="0" xfId="1" applyNumberFormat="1"/>
    <xf numFmtId="169" fontId="2" fillId="2" borderId="4" xfId="1" applyNumberFormat="1" applyFont="1" applyFill="1" applyBorder="1" applyAlignment="1">
      <alignment horizontal="left"/>
    </xf>
    <xf numFmtId="169" fontId="4" fillId="4" borderId="0" xfId="1" applyNumberFormat="1" applyFont="1" applyFill="1"/>
    <xf numFmtId="169" fontId="4" fillId="3" borderId="0" xfId="1" applyNumberFormat="1" applyFont="1"/>
    <xf numFmtId="169" fontId="5" fillId="3" borderId="0" xfId="1" applyNumberFormat="1"/>
    <xf numFmtId="1" fontId="2" fillId="2" borderId="4" xfId="1" applyNumberFormat="1" applyFont="1" applyFill="1" applyBorder="1"/>
    <xf numFmtId="1" fontId="4" fillId="4" borderId="0" xfId="1" applyNumberFormat="1" applyFont="1" applyFill="1"/>
    <xf numFmtId="1" fontId="4" fillId="3" borderId="0" xfId="1" applyNumberFormat="1" applyFont="1"/>
    <xf numFmtId="1" fontId="5" fillId="3" borderId="0" xfId="1" applyNumberFormat="1"/>
    <xf numFmtId="14" fontId="8" fillId="5" borderId="4" xfId="1" applyNumberFormat="1" applyFont="1" applyFill="1" applyBorder="1" applyAlignment="1">
      <alignment horizontal="left"/>
    </xf>
    <xf numFmtId="14" fontId="7" fillId="3" borderId="0" xfId="1" applyNumberFormat="1" applyFont="1"/>
    <xf numFmtId="168" fontId="2" fillId="5" borderId="4" xfId="1" applyNumberFormat="1" applyFont="1" applyFill="1" applyBorder="1" applyAlignment="1">
      <alignment horizontal="left"/>
    </xf>
    <xf numFmtId="168" fontId="8" fillId="5" borderId="4" xfId="1" applyNumberFormat="1" applyFont="1" applyFill="1" applyBorder="1" applyAlignment="1">
      <alignment horizontal="left"/>
    </xf>
    <xf numFmtId="168" fontId="7" fillId="3" borderId="0" xfId="1" applyNumberFormat="1" applyFont="1"/>
    <xf numFmtId="170" fontId="8" fillId="5" borderId="4" xfId="1" applyNumberFormat="1" applyFont="1" applyFill="1" applyBorder="1" applyAlignment="1">
      <alignment horizontal="left"/>
    </xf>
    <xf numFmtId="170" fontId="7" fillId="3" borderId="0" xfId="1" applyNumberFormat="1" applyFont="1"/>
    <xf numFmtId="170" fontId="5" fillId="3" borderId="0" xfId="1" applyNumberFormat="1"/>
    <xf numFmtId="168" fontId="8" fillId="2" borderId="4" xfId="1" applyNumberFormat="1" applyFont="1" applyFill="1" applyBorder="1" applyAlignment="1">
      <alignment horizontal="left"/>
    </xf>
    <xf numFmtId="171" fontId="8" fillId="5" borderId="4" xfId="1" applyNumberFormat="1" applyFont="1" applyFill="1" applyBorder="1" applyAlignment="1">
      <alignment horizontal="left"/>
    </xf>
    <xf numFmtId="171" fontId="7" fillId="3" borderId="0" xfId="1" applyNumberFormat="1" applyFont="1"/>
    <xf numFmtId="171" fontId="5" fillId="3" borderId="0" xfId="1" applyNumberFormat="1"/>
    <xf numFmtId="0" fontId="2" fillId="5" borderId="4" xfId="1" applyFont="1" applyFill="1" applyBorder="1" applyAlignment="1">
      <alignment horizontal="left"/>
    </xf>
    <xf numFmtId="171" fontId="0" fillId="0" borderId="0" xfId="0" applyNumberFormat="1"/>
    <xf numFmtId="0" fontId="2" fillId="2" borderId="1" xfId="1" applyFont="1" applyFill="1" applyBorder="1" applyAlignment="1">
      <alignment horizontal="right"/>
    </xf>
    <xf numFmtId="0" fontId="3" fillId="3" borderId="3" xfId="1" applyFont="1" applyBorder="1"/>
    <xf numFmtId="0" fontId="2" fillId="2" borderId="1" xfId="1" applyFont="1" applyFill="1" applyBorder="1" applyAlignment="1">
      <alignment horizontal="left"/>
    </xf>
    <xf numFmtId="0" fontId="3" fillId="3" borderId="2" xfId="1" applyFont="1" applyBorder="1"/>
    <xf numFmtId="0" fontId="1" fillId="3" borderId="0" xfId="1" applyFont="1" applyAlignment="1">
      <alignment horizontal="left"/>
    </xf>
    <xf numFmtId="0" fontId="5" fillId="3" borderId="0" xfId="1"/>
    <xf numFmtId="0" fontId="2" fillId="3" borderId="0" xfId="1" applyFont="1"/>
    <xf numFmtId="0" fontId="2" fillId="2" borderId="1" xfId="0" applyFont="1" applyFill="1" applyBorder="1" applyAlignment="1">
      <alignment horizontal="right"/>
    </xf>
    <xf numFmtId="0" fontId="3" fillId="0" borderId="3" xfId="0" applyFont="1" applyBorder="1"/>
  </cellXfs>
  <cellStyles count="2">
    <cellStyle name="Normal" xfId="0" builtinId="0"/>
    <cellStyle name="Normal 2" xfId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0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9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4" formatCode="&quot;&quot;#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AB22" totalsRowShown="0" headerRowDxfId="31" dataDxfId="29" headerRowBorderDxfId="30" tableBorderDxfId="28" headerRowCellStyle="Normal 2" dataCellStyle="Normal 2">
  <autoFilter ref="A1:AB22"/>
  <tableColumns count="28">
    <tableColumn id="1" name="lahtopaiva" dataDxfId="27" dataCellStyle="Normal 2"/>
    <tableColumn id="2" name="lahtoaika" dataDxfId="26" dataCellStyle="Normal 2"/>
    <tableColumn id="3" name="lahto_osoite" dataDxfId="25" dataCellStyle="Normal 2"/>
    <tableColumn id="4" name="lahtomittari" dataDxfId="24" dataCellStyle="Normal 2"/>
    <tableColumn id="5" name="tarkoitus" dataDxfId="23" dataCellStyle="Normal 2"/>
    <tableColumn id="6" name="kuljettaja" dataDxfId="22" dataCellStyle="Normal 2"/>
    <tableColumn id="7" name="paluupaiva" dataDxfId="21" dataCellStyle="Normal 2"/>
    <tableColumn id="8" name="paluuaika" dataDxfId="20" dataCellStyle="Normal 2"/>
    <tableColumn id="9" name="paluuosoite" dataDxfId="19" dataCellStyle="Normal 2"/>
    <tableColumn id="10" name="paluumittari" dataDxfId="18" dataCellStyle="Normal 2"/>
    <tableColumn id="11" name="km" dataDxfId="17" dataCellStyle="Normal 2"/>
    <tableColumn id="12" name="ajoaika" dataDxfId="16" dataCellStyle="Normal 2"/>
    <tableColumn id="13" name="paikallaanaika" dataDxfId="15" dataCellStyle="Normal 2"/>
    <tableColumn id="14" name="lpvm" dataDxfId="14" dataCellStyle="Normal 2">
      <calculatedColumnFormula>DATEVALUE(Table1[[#This Row],[lahtopaiva]])</calculatedColumnFormula>
    </tableColumn>
    <tableColumn id="15" name="laika" dataDxfId="13" dataCellStyle="Normal 2">
      <calculatedColumnFormula>TIMEVALUE(Table1[[#This Row],[lahtoaika]])</calculatedColumnFormula>
    </tableColumn>
    <tableColumn id="16" name="ppvm" dataDxfId="12" dataCellStyle="Normal 2">
      <calculatedColumnFormula>DATEVALUE(Table1[[#This Row],[paluupaiva]])</calculatedColumnFormula>
    </tableColumn>
    <tableColumn id="17" name="paika" dataDxfId="11" dataCellStyle="Normal 2">
      <calculatedColumnFormula>TIMEVALUE(Table1[[#This Row],[paluuaika]])</calculatedColumnFormula>
    </tableColumn>
    <tableColumn id="18" name="isolpvm" dataDxfId="10" dataCellStyle="Normal 2">
      <calculatedColumnFormula>Table1[[#This Row],[lpvm]]</calculatedColumnFormula>
    </tableColumn>
    <tableColumn id="19" name="lainaus" dataDxfId="9" dataCellStyle="Normal 2">
      <calculatedColumnFormula>Table1[[#This Row],[lpvm]]+Table1[[#This Row],[laika]]</calculatedColumnFormula>
    </tableColumn>
    <tableColumn id="20" name="palautus" dataDxfId="8" dataCellStyle="Normal 2">
      <calculatedColumnFormula>Table1[[#This Row],[ppvm]]+Table1[[#This Row],[paika]]</calculatedColumnFormula>
    </tableColumn>
    <tableColumn id="23" name="ajotunnit" dataDxfId="7" dataCellStyle="Normal 2"/>
    <tableColumn id="24" name="ajominuutit" dataDxfId="6" dataCellStyle="Normal 2"/>
    <tableColumn id="25" name="ajosekunnit" dataDxfId="5" dataCellStyle="Normal 2"/>
    <tableColumn id="26" name="a_aika" dataDxfId="4" dataCellStyle="Normal 2">
      <calculatedColumnFormula>Table1[[#This Row],[ajotunnit]]*1 +Table1[[#This Row],[ajominuutit]]/60</calculatedColumnFormula>
    </tableColumn>
    <tableColumn id="27" name="ptunnit" dataDxfId="3" dataCellStyle="Normal 2"/>
    <tableColumn id="28" name="pminuutit" dataDxfId="2" dataCellStyle="Normal 2"/>
    <tableColumn id="29" name="psekunnit" dataDxfId="1" dataCellStyle="Normal 2"/>
    <tableColumn id="30" name="p_aika" dataDxfId="0" dataCellStyle="Normal 2">
      <calculatedColumnFormula>Table1[[#This Row],[ptunnit]]+Table1[[#This Row],[pminuutit]]/60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3"/>
  <sheetViews>
    <sheetView workbookViewId="0"/>
  </sheetViews>
  <sheetFormatPr defaultColWidth="9.125" defaultRowHeight="14.25"/>
  <cols>
    <col min="1" max="1" width="10.75" style="17" customWidth="1"/>
    <col min="2" max="2" width="8" style="17" customWidth="1"/>
    <col min="3" max="3" width="21.625" style="17" customWidth="1"/>
    <col min="4" max="4" width="16.125" style="17" customWidth="1"/>
    <col min="5" max="5" width="10.75" style="17" customWidth="1"/>
    <col min="6" max="6" width="8" style="17" customWidth="1"/>
    <col min="7" max="7" width="21.625" style="17" customWidth="1"/>
    <col min="8" max="8" width="16.125" style="17" customWidth="1"/>
    <col min="9" max="10" width="10.75" style="17" customWidth="1"/>
    <col min="11" max="13" width="16.125" style="17" customWidth="1"/>
    <col min="14" max="16384" width="9.125" style="17"/>
  </cols>
  <sheetData>
    <row r="1" spans="1:13" ht="15.75">
      <c r="A1" s="34" t="s">
        <v>0</v>
      </c>
    </row>
    <row r="2" spans="1:13" ht="15.75">
      <c r="A2" s="34" t="s">
        <v>1</v>
      </c>
    </row>
    <row r="3" spans="1:13" ht="15">
      <c r="A3" s="70" t="s">
        <v>2</v>
      </c>
      <c r="B3" s="71"/>
      <c r="C3" s="71"/>
      <c r="D3" s="69"/>
      <c r="E3" s="70" t="s">
        <v>3</v>
      </c>
      <c r="F3" s="71"/>
      <c r="G3" s="71"/>
      <c r="H3" s="69"/>
      <c r="I3" s="70" t="s">
        <v>4</v>
      </c>
      <c r="J3" s="71"/>
      <c r="K3" s="71"/>
      <c r="L3" s="71"/>
      <c r="M3" s="69"/>
    </row>
    <row r="4" spans="1:13">
      <c r="A4" s="31" t="s">
        <v>5</v>
      </c>
      <c r="B4" s="31" t="s">
        <v>6</v>
      </c>
      <c r="C4" s="31" t="s">
        <v>7</v>
      </c>
      <c r="D4" s="33" t="s">
        <v>8</v>
      </c>
      <c r="E4" s="31" t="s">
        <v>5</v>
      </c>
      <c r="F4" s="31" t="s">
        <v>6</v>
      </c>
      <c r="G4" s="31" t="s">
        <v>7</v>
      </c>
      <c r="H4" s="33" t="s">
        <v>8</v>
      </c>
      <c r="I4" s="31" t="s">
        <v>9</v>
      </c>
      <c r="J4" s="33" t="s">
        <v>10</v>
      </c>
      <c r="K4" s="32"/>
      <c r="L4" s="31" t="s">
        <v>11</v>
      </c>
      <c r="M4" s="31" t="s">
        <v>12</v>
      </c>
    </row>
    <row r="5" spans="1:13" ht="16.7" customHeight="1">
      <c r="A5" s="72" t="s">
        <v>13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1:13">
      <c r="A6" s="74" t="s">
        <v>14</v>
      </c>
      <c r="B6" s="73"/>
      <c r="C6" s="73"/>
      <c r="D6" s="73"/>
      <c r="E6" s="19"/>
      <c r="F6" s="19"/>
      <c r="G6" s="19"/>
      <c r="H6" s="19"/>
      <c r="I6" s="19"/>
      <c r="J6" s="19"/>
      <c r="K6" s="19"/>
      <c r="L6" s="19"/>
      <c r="M6" s="19"/>
    </row>
    <row r="7" spans="1:13">
      <c r="A7" s="26" t="s">
        <v>15</v>
      </c>
      <c r="B7" s="26" t="s">
        <v>16</v>
      </c>
      <c r="C7" s="26" t="s">
        <v>17</v>
      </c>
      <c r="D7" s="29">
        <v>0</v>
      </c>
      <c r="E7" s="26" t="s">
        <v>15</v>
      </c>
      <c r="F7" s="26" t="s">
        <v>18</v>
      </c>
      <c r="G7" s="26" t="s">
        <v>19</v>
      </c>
      <c r="H7" s="29">
        <v>0</v>
      </c>
      <c r="I7" s="28">
        <v>0.39899998903274536</v>
      </c>
      <c r="J7" s="27">
        <v>0</v>
      </c>
      <c r="K7" s="26"/>
      <c r="L7" s="26" t="s">
        <v>20</v>
      </c>
      <c r="M7" s="26" t="s">
        <v>21</v>
      </c>
    </row>
    <row r="8" spans="1:13">
      <c r="A8" s="19" t="s">
        <v>15</v>
      </c>
      <c r="B8" s="19" t="s">
        <v>22</v>
      </c>
      <c r="C8" s="19" t="s">
        <v>19</v>
      </c>
      <c r="D8" s="25">
        <v>0</v>
      </c>
      <c r="E8" s="19" t="s">
        <v>15</v>
      </c>
      <c r="F8" s="19" t="s">
        <v>23</v>
      </c>
      <c r="G8" s="19" t="s">
        <v>17</v>
      </c>
      <c r="H8" s="25">
        <v>1</v>
      </c>
      <c r="I8" s="24">
        <v>0.70999997854232788</v>
      </c>
      <c r="J8" s="23">
        <v>0</v>
      </c>
      <c r="K8" s="19"/>
      <c r="L8" s="19" t="s">
        <v>24</v>
      </c>
      <c r="M8" s="19" t="s">
        <v>25</v>
      </c>
    </row>
    <row r="9" spans="1:13">
      <c r="A9" s="26" t="s">
        <v>26</v>
      </c>
      <c r="B9" s="26" t="s">
        <v>27</v>
      </c>
      <c r="C9" s="26" t="s">
        <v>17</v>
      </c>
      <c r="D9" s="29">
        <v>1</v>
      </c>
      <c r="E9" s="26" t="s">
        <v>26</v>
      </c>
      <c r="F9" s="26" t="s">
        <v>28</v>
      </c>
      <c r="G9" s="26" t="s">
        <v>29</v>
      </c>
      <c r="H9" s="29">
        <v>2</v>
      </c>
      <c r="I9" s="28">
        <v>1.1299999952316284</v>
      </c>
      <c r="J9" s="27">
        <v>0</v>
      </c>
      <c r="K9" s="26"/>
      <c r="L9" s="26" t="s">
        <v>30</v>
      </c>
      <c r="M9" s="26" t="s">
        <v>31</v>
      </c>
    </row>
    <row r="10" spans="1:13">
      <c r="A10" s="19" t="s">
        <v>26</v>
      </c>
      <c r="B10" s="19" t="s">
        <v>32</v>
      </c>
      <c r="C10" s="19" t="s">
        <v>29</v>
      </c>
      <c r="D10" s="25">
        <v>2</v>
      </c>
      <c r="E10" s="19" t="s">
        <v>26</v>
      </c>
      <c r="F10" s="19" t="s">
        <v>33</v>
      </c>
      <c r="G10" s="19" t="s">
        <v>17</v>
      </c>
      <c r="H10" s="25">
        <v>3</v>
      </c>
      <c r="I10" s="24">
        <v>1.3029999732971191</v>
      </c>
      <c r="J10" s="23">
        <v>0</v>
      </c>
      <c r="K10" s="19"/>
      <c r="L10" s="19" t="s">
        <v>34</v>
      </c>
      <c r="M10" s="19" t="s">
        <v>35</v>
      </c>
    </row>
    <row r="11" spans="1:13">
      <c r="A11" s="26" t="s">
        <v>36</v>
      </c>
      <c r="B11" s="26" t="s">
        <v>37</v>
      </c>
      <c r="C11" s="26" t="s">
        <v>17</v>
      </c>
      <c r="D11" s="29">
        <v>3</v>
      </c>
      <c r="E11" s="26" t="s">
        <v>36</v>
      </c>
      <c r="F11" s="26" t="s">
        <v>38</v>
      </c>
      <c r="G11" s="26" t="s">
        <v>39</v>
      </c>
      <c r="H11" s="29">
        <v>9</v>
      </c>
      <c r="I11" s="28">
        <v>5.6189999580383301</v>
      </c>
      <c r="J11" s="27">
        <v>0</v>
      </c>
      <c r="K11" s="26"/>
      <c r="L11" s="26" t="s">
        <v>40</v>
      </c>
      <c r="M11" s="26" t="s">
        <v>41</v>
      </c>
    </row>
    <row r="12" spans="1:13">
      <c r="A12" s="19" t="s">
        <v>36</v>
      </c>
      <c r="B12" s="19" t="s">
        <v>42</v>
      </c>
      <c r="C12" s="19" t="s">
        <v>43</v>
      </c>
      <c r="D12" s="25">
        <v>9</v>
      </c>
      <c r="E12" s="19" t="s">
        <v>36</v>
      </c>
      <c r="F12" s="19" t="s">
        <v>44</v>
      </c>
      <c r="G12" s="19" t="s">
        <v>45</v>
      </c>
      <c r="H12" s="25">
        <v>14</v>
      </c>
      <c r="I12" s="24">
        <v>5.8029999732971191</v>
      </c>
      <c r="J12" s="23">
        <v>0</v>
      </c>
      <c r="K12" s="19"/>
      <c r="L12" s="19" t="s">
        <v>46</v>
      </c>
      <c r="M12" s="19" t="s">
        <v>47</v>
      </c>
    </row>
    <row r="13" spans="1:13">
      <c r="A13" s="26" t="s">
        <v>36</v>
      </c>
      <c r="B13" s="26" t="s">
        <v>48</v>
      </c>
      <c r="C13" s="26" t="s">
        <v>45</v>
      </c>
      <c r="D13" s="29">
        <v>14</v>
      </c>
      <c r="E13" s="26" t="s">
        <v>36</v>
      </c>
      <c r="F13" s="26" t="s">
        <v>49</v>
      </c>
      <c r="G13" s="26" t="s">
        <v>50</v>
      </c>
      <c r="H13" s="29">
        <v>25</v>
      </c>
      <c r="I13" s="28">
        <v>10.765999794006348</v>
      </c>
      <c r="J13" s="27">
        <v>0</v>
      </c>
      <c r="K13" s="26"/>
      <c r="L13" s="26" t="s">
        <v>51</v>
      </c>
      <c r="M13" s="26" t="s">
        <v>52</v>
      </c>
    </row>
    <row r="14" spans="1:13">
      <c r="A14" s="19" t="s">
        <v>36</v>
      </c>
      <c r="B14" s="19" t="s">
        <v>53</v>
      </c>
      <c r="C14" s="19" t="s">
        <v>50</v>
      </c>
      <c r="D14" s="25">
        <v>25</v>
      </c>
      <c r="E14" s="19" t="s">
        <v>36</v>
      </c>
      <c r="F14" s="19" t="s">
        <v>54</v>
      </c>
      <c r="G14" s="19" t="s">
        <v>55</v>
      </c>
      <c r="H14" s="25">
        <v>28</v>
      </c>
      <c r="I14" s="24">
        <v>2.6589999198913574</v>
      </c>
      <c r="J14" s="23">
        <v>0</v>
      </c>
      <c r="K14" s="19"/>
      <c r="L14" s="19" t="s">
        <v>56</v>
      </c>
      <c r="M14" s="19" t="s">
        <v>57</v>
      </c>
    </row>
    <row r="15" spans="1:13">
      <c r="A15" s="26" t="s">
        <v>36</v>
      </c>
      <c r="B15" s="26" t="s">
        <v>58</v>
      </c>
      <c r="C15" s="26" t="s">
        <v>55</v>
      </c>
      <c r="D15" s="29">
        <v>28</v>
      </c>
      <c r="E15" s="26" t="s">
        <v>36</v>
      </c>
      <c r="F15" s="26" t="s">
        <v>59</v>
      </c>
      <c r="G15" s="26" t="s">
        <v>17</v>
      </c>
      <c r="H15" s="29">
        <v>38</v>
      </c>
      <c r="I15" s="28">
        <v>10.446000099182129</v>
      </c>
      <c r="J15" s="27">
        <v>0</v>
      </c>
      <c r="K15" s="26"/>
      <c r="L15" s="26" t="s">
        <v>60</v>
      </c>
      <c r="M15" s="26" t="s">
        <v>61</v>
      </c>
    </row>
    <row r="16" spans="1:13">
      <c r="A16" s="19" t="s">
        <v>62</v>
      </c>
      <c r="B16" s="19" t="s">
        <v>63</v>
      </c>
      <c r="C16" s="19" t="s">
        <v>17</v>
      </c>
      <c r="D16" s="25">
        <v>38</v>
      </c>
      <c r="E16" s="19" t="s">
        <v>62</v>
      </c>
      <c r="F16" s="19" t="s">
        <v>64</v>
      </c>
      <c r="G16" s="19" t="s">
        <v>45</v>
      </c>
      <c r="H16" s="25">
        <v>39</v>
      </c>
      <c r="I16" s="24">
        <v>0.34999999403953552</v>
      </c>
      <c r="J16" s="23">
        <v>0</v>
      </c>
      <c r="K16" s="19"/>
      <c r="L16" s="19" t="s">
        <v>65</v>
      </c>
      <c r="M16" s="19" t="s">
        <v>66</v>
      </c>
    </row>
    <row r="17" spans="1:13">
      <c r="A17" s="26" t="s">
        <v>62</v>
      </c>
      <c r="B17" s="26" t="s">
        <v>67</v>
      </c>
      <c r="C17" s="26" t="s">
        <v>45</v>
      </c>
      <c r="D17" s="29">
        <v>39</v>
      </c>
      <c r="E17" s="26" t="s">
        <v>62</v>
      </c>
      <c r="F17" s="26" t="s">
        <v>68</v>
      </c>
      <c r="G17" s="26" t="s">
        <v>69</v>
      </c>
      <c r="H17" s="29">
        <v>42</v>
      </c>
      <c r="I17" s="28">
        <v>3.5959999561309814</v>
      </c>
      <c r="J17" s="27">
        <v>0</v>
      </c>
      <c r="K17" s="26"/>
      <c r="L17" s="26" t="s">
        <v>70</v>
      </c>
      <c r="M17" s="26" t="s">
        <v>71</v>
      </c>
    </row>
    <row r="18" spans="1:13">
      <c r="A18" s="19" t="s">
        <v>62</v>
      </c>
      <c r="B18" s="19" t="s">
        <v>68</v>
      </c>
      <c r="C18" s="19" t="s">
        <v>69</v>
      </c>
      <c r="D18" s="25">
        <v>42</v>
      </c>
      <c r="E18" s="19" t="s">
        <v>62</v>
      </c>
      <c r="F18" s="19" t="s">
        <v>72</v>
      </c>
      <c r="G18" s="19" t="s">
        <v>73</v>
      </c>
      <c r="H18" s="25">
        <v>43</v>
      </c>
      <c r="I18" s="24">
        <v>0.93400001525878906</v>
      </c>
      <c r="J18" s="23">
        <v>0</v>
      </c>
      <c r="K18" s="19"/>
      <c r="L18" s="19" t="s">
        <v>74</v>
      </c>
      <c r="M18" s="19" t="s">
        <v>24</v>
      </c>
    </row>
    <row r="19" spans="1:13">
      <c r="A19" s="26" t="s">
        <v>62</v>
      </c>
      <c r="B19" s="26" t="s">
        <v>75</v>
      </c>
      <c r="C19" s="26" t="s">
        <v>73</v>
      </c>
      <c r="D19" s="29">
        <v>43</v>
      </c>
      <c r="E19" s="26" t="s">
        <v>62</v>
      </c>
      <c r="F19" s="26" t="s">
        <v>76</v>
      </c>
      <c r="G19" s="26" t="s">
        <v>29</v>
      </c>
      <c r="H19" s="29">
        <v>45</v>
      </c>
      <c r="I19" s="28">
        <v>1.6950000524520874</v>
      </c>
      <c r="J19" s="27">
        <v>0</v>
      </c>
      <c r="K19" s="26"/>
      <c r="L19" s="26" t="s">
        <v>77</v>
      </c>
      <c r="M19" s="26" t="s">
        <v>78</v>
      </c>
    </row>
    <row r="20" spans="1:13">
      <c r="A20" s="19" t="s">
        <v>62</v>
      </c>
      <c r="B20" s="19" t="s">
        <v>79</v>
      </c>
      <c r="C20" s="19" t="s">
        <v>29</v>
      </c>
      <c r="D20" s="25">
        <v>45</v>
      </c>
      <c r="E20" s="19" t="s">
        <v>62</v>
      </c>
      <c r="F20" s="19" t="s">
        <v>80</v>
      </c>
      <c r="G20" s="19" t="s">
        <v>45</v>
      </c>
      <c r="H20" s="25">
        <v>46</v>
      </c>
      <c r="I20" s="24">
        <v>1.1269999742507935</v>
      </c>
      <c r="J20" s="23">
        <v>0</v>
      </c>
      <c r="K20" s="19"/>
      <c r="L20" s="19" t="s">
        <v>81</v>
      </c>
      <c r="M20" s="19" t="s">
        <v>82</v>
      </c>
    </row>
    <row r="21" spans="1:13">
      <c r="A21" s="26" t="s">
        <v>62</v>
      </c>
      <c r="B21" s="26" t="s">
        <v>83</v>
      </c>
      <c r="C21" s="26" t="s">
        <v>45</v>
      </c>
      <c r="D21" s="29">
        <v>46</v>
      </c>
      <c r="E21" s="26" t="s">
        <v>62</v>
      </c>
      <c r="F21" s="26" t="s">
        <v>84</v>
      </c>
      <c r="G21" s="26" t="s">
        <v>85</v>
      </c>
      <c r="H21" s="29">
        <v>52</v>
      </c>
      <c r="I21" s="28">
        <v>5.6830000877380371</v>
      </c>
      <c r="J21" s="27">
        <v>0</v>
      </c>
      <c r="K21" s="26"/>
      <c r="L21" s="26" t="s">
        <v>86</v>
      </c>
      <c r="M21" s="26" t="s">
        <v>87</v>
      </c>
    </row>
    <row r="22" spans="1:13">
      <c r="A22" s="19" t="s">
        <v>62</v>
      </c>
      <c r="B22" s="19" t="s">
        <v>88</v>
      </c>
      <c r="C22" s="19" t="s">
        <v>85</v>
      </c>
      <c r="D22" s="25">
        <v>52</v>
      </c>
      <c r="E22" s="19" t="s">
        <v>62</v>
      </c>
      <c r="F22" s="19" t="s">
        <v>89</v>
      </c>
      <c r="G22" s="19" t="s">
        <v>45</v>
      </c>
      <c r="H22" s="25">
        <v>57</v>
      </c>
      <c r="I22" s="24">
        <v>5.2719998359680176</v>
      </c>
      <c r="J22" s="23">
        <v>0</v>
      </c>
      <c r="K22" s="19"/>
      <c r="L22" s="19" t="s">
        <v>90</v>
      </c>
      <c r="M22" s="19" t="s">
        <v>91</v>
      </c>
    </row>
    <row r="23" spans="1:13">
      <c r="A23" s="26" t="s">
        <v>62</v>
      </c>
      <c r="B23" s="26" t="s">
        <v>92</v>
      </c>
      <c r="C23" s="26" t="s">
        <v>45</v>
      </c>
      <c r="D23" s="29">
        <v>57</v>
      </c>
      <c r="E23" s="26" t="s">
        <v>62</v>
      </c>
      <c r="F23" s="26" t="s">
        <v>93</v>
      </c>
      <c r="G23" s="26" t="s">
        <v>85</v>
      </c>
      <c r="H23" s="29">
        <v>63</v>
      </c>
      <c r="I23" s="28">
        <v>5.7270002365112305</v>
      </c>
      <c r="J23" s="27">
        <v>0</v>
      </c>
      <c r="K23" s="26"/>
      <c r="L23" s="26" t="s">
        <v>94</v>
      </c>
      <c r="M23" s="26" t="s">
        <v>95</v>
      </c>
    </row>
    <row r="24" spans="1:13">
      <c r="A24" s="19" t="s">
        <v>62</v>
      </c>
      <c r="B24" s="19" t="s">
        <v>96</v>
      </c>
      <c r="C24" s="19" t="s">
        <v>85</v>
      </c>
      <c r="D24" s="25">
        <v>63</v>
      </c>
      <c r="E24" s="19" t="s">
        <v>62</v>
      </c>
      <c r="F24" s="19" t="s">
        <v>97</v>
      </c>
      <c r="G24" s="19" t="s">
        <v>45</v>
      </c>
      <c r="H24" s="25">
        <v>68</v>
      </c>
      <c r="I24" s="24">
        <v>5.2839999198913574</v>
      </c>
      <c r="J24" s="23">
        <v>0</v>
      </c>
      <c r="K24" s="19"/>
      <c r="L24" s="19" t="s">
        <v>98</v>
      </c>
      <c r="M24" s="19" t="s">
        <v>99</v>
      </c>
    </row>
    <row r="25" spans="1:13">
      <c r="A25" s="26" t="s">
        <v>100</v>
      </c>
      <c r="B25" s="26" t="s">
        <v>101</v>
      </c>
      <c r="C25" s="26" t="s">
        <v>45</v>
      </c>
      <c r="D25" s="29">
        <v>68</v>
      </c>
      <c r="E25" s="26" t="s">
        <v>100</v>
      </c>
      <c r="F25" s="26" t="s">
        <v>64</v>
      </c>
      <c r="G25" s="26" t="s">
        <v>50</v>
      </c>
      <c r="H25" s="29">
        <v>77</v>
      </c>
      <c r="I25" s="28">
        <v>9.3299999237060547</v>
      </c>
      <c r="J25" s="27">
        <v>0</v>
      </c>
      <c r="K25" s="26"/>
      <c r="L25" s="26" t="s">
        <v>102</v>
      </c>
      <c r="M25" s="26" t="s">
        <v>103</v>
      </c>
    </row>
    <row r="26" spans="1:13">
      <c r="A26" s="19" t="s">
        <v>100</v>
      </c>
      <c r="B26" s="19" t="s">
        <v>104</v>
      </c>
      <c r="C26" s="19" t="s">
        <v>50</v>
      </c>
      <c r="D26" s="25">
        <v>77</v>
      </c>
      <c r="E26" s="19" t="s">
        <v>100</v>
      </c>
      <c r="F26" s="19" t="s">
        <v>105</v>
      </c>
      <c r="G26" s="19" t="s">
        <v>17</v>
      </c>
      <c r="H26" s="25">
        <v>90</v>
      </c>
      <c r="I26" s="24">
        <v>13.08899974822998</v>
      </c>
      <c r="J26" s="23">
        <v>0</v>
      </c>
      <c r="K26" s="19"/>
      <c r="L26" s="19" t="s">
        <v>106</v>
      </c>
      <c r="M26" s="19" t="s">
        <v>107</v>
      </c>
    </row>
    <row r="27" spans="1:13">
      <c r="A27" s="26" t="s">
        <v>100</v>
      </c>
      <c r="B27" s="26" t="s">
        <v>108</v>
      </c>
      <c r="C27" s="26" t="s">
        <v>17</v>
      </c>
      <c r="D27" s="29">
        <v>90</v>
      </c>
      <c r="E27" s="26" t="s">
        <v>100</v>
      </c>
      <c r="F27" s="26" t="s">
        <v>109</v>
      </c>
      <c r="G27" s="26" t="s">
        <v>110</v>
      </c>
      <c r="H27" s="29">
        <v>98</v>
      </c>
      <c r="I27" s="28">
        <v>7.1079998016357422</v>
      </c>
      <c r="J27" s="27">
        <v>0</v>
      </c>
      <c r="K27" s="26"/>
      <c r="L27" s="26" t="s">
        <v>111</v>
      </c>
      <c r="M27" s="26" t="s">
        <v>112</v>
      </c>
    </row>
    <row r="28" spans="1:13">
      <c r="A28" s="19" t="s">
        <v>100</v>
      </c>
      <c r="B28" s="19" t="s">
        <v>113</v>
      </c>
      <c r="C28" s="19" t="s">
        <v>110</v>
      </c>
      <c r="D28" s="25">
        <v>98</v>
      </c>
      <c r="E28" s="19" t="s">
        <v>100</v>
      </c>
      <c r="F28" s="19" t="s">
        <v>114</v>
      </c>
      <c r="G28" s="19" t="s">
        <v>45</v>
      </c>
      <c r="H28" s="25">
        <v>104</v>
      </c>
      <c r="I28" s="24">
        <v>6.8979997634887695</v>
      </c>
      <c r="J28" s="23">
        <v>0</v>
      </c>
      <c r="K28" s="19"/>
      <c r="L28" s="19" t="s">
        <v>115</v>
      </c>
      <c r="M28" s="19" t="s">
        <v>116</v>
      </c>
    </row>
    <row r="29" spans="1:13">
      <c r="A29" s="26" t="s">
        <v>117</v>
      </c>
      <c r="B29" s="26" t="s">
        <v>118</v>
      </c>
      <c r="C29" s="26" t="s">
        <v>45</v>
      </c>
      <c r="D29" s="29">
        <v>104</v>
      </c>
      <c r="E29" s="26" t="s">
        <v>117</v>
      </c>
      <c r="F29" s="26" t="s">
        <v>119</v>
      </c>
      <c r="G29" s="26" t="s">
        <v>45</v>
      </c>
      <c r="H29" s="29">
        <v>128</v>
      </c>
      <c r="I29" s="28">
        <v>23.327999114990234</v>
      </c>
      <c r="J29" s="27">
        <v>0</v>
      </c>
      <c r="K29" s="26"/>
      <c r="L29" s="26" t="s">
        <v>120</v>
      </c>
      <c r="M29" s="26" t="s">
        <v>121</v>
      </c>
    </row>
    <row r="30" spans="1:13">
      <c r="A30" s="19" t="s">
        <v>117</v>
      </c>
      <c r="B30" s="19" t="s">
        <v>22</v>
      </c>
      <c r="C30" s="19" t="s">
        <v>45</v>
      </c>
      <c r="D30" s="25">
        <v>128</v>
      </c>
      <c r="E30" s="19" t="s">
        <v>117</v>
      </c>
      <c r="F30" s="19" t="s">
        <v>122</v>
      </c>
      <c r="G30" s="19" t="s">
        <v>123</v>
      </c>
      <c r="H30" s="25">
        <v>132</v>
      </c>
      <c r="I30" s="24">
        <v>3.7739999294281006</v>
      </c>
      <c r="J30" s="23">
        <v>0</v>
      </c>
      <c r="K30" s="19"/>
      <c r="L30" s="19" t="s">
        <v>124</v>
      </c>
      <c r="M30" s="19" t="s">
        <v>125</v>
      </c>
    </row>
    <row r="31" spans="1:13">
      <c r="A31" s="26" t="s">
        <v>117</v>
      </c>
      <c r="B31" s="26" t="s">
        <v>126</v>
      </c>
      <c r="C31" s="26" t="s">
        <v>123</v>
      </c>
      <c r="D31" s="29">
        <v>132</v>
      </c>
      <c r="E31" s="26" t="s">
        <v>117</v>
      </c>
      <c r="F31" s="26" t="s">
        <v>127</v>
      </c>
      <c r="G31" s="26" t="s">
        <v>45</v>
      </c>
      <c r="H31" s="29">
        <v>135</v>
      </c>
      <c r="I31" s="28">
        <v>3.6170001029968262</v>
      </c>
      <c r="J31" s="27">
        <v>0</v>
      </c>
      <c r="K31" s="26"/>
      <c r="L31" s="26" t="s">
        <v>128</v>
      </c>
      <c r="M31" s="26" t="s">
        <v>129</v>
      </c>
    </row>
    <row r="32" spans="1:13">
      <c r="A32" s="19" t="s">
        <v>117</v>
      </c>
      <c r="B32" s="19" t="s">
        <v>130</v>
      </c>
      <c r="C32" s="19" t="s">
        <v>45</v>
      </c>
      <c r="D32" s="25">
        <v>135</v>
      </c>
      <c r="E32" s="19" t="s">
        <v>117</v>
      </c>
      <c r="F32" s="19" t="s">
        <v>131</v>
      </c>
      <c r="G32" s="19" t="s">
        <v>110</v>
      </c>
      <c r="H32" s="25">
        <v>142</v>
      </c>
      <c r="I32" s="24">
        <v>6.8359999656677246</v>
      </c>
      <c r="J32" s="23">
        <v>0</v>
      </c>
      <c r="K32" s="19"/>
      <c r="L32" s="19" t="s">
        <v>132</v>
      </c>
      <c r="M32" s="19" t="s">
        <v>133</v>
      </c>
    </row>
    <row r="33" spans="1:13">
      <c r="A33" s="26" t="s">
        <v>117</v>
      </c>
      <c r="B33" s="26" t="s">
        <v>134</v>
      </c>
      <c r="C33" s="26" t="s">
        <v>110</v>
      </c>
      <c r="D33" s="29">
        <v>142</v>
      </c>
      <c r="E33" s="26" t="s">
        <v>117</v>
      </c>
      <c r="F33" s="26" t="s">
        <v>135</v>
      </c>
      <c r="G33" s="26" t="s">
        <v>45</v>
      </c>
      <c r="H33" s="29">
        <v>152</v>
      </c>
      <c r="I33" s="28">
        <v>9.9060001373291016</v>
      </c>
      <c r="J33" s="27">
        <v>0</v>
      </c>
      <c r="K33" s="26"/>
      <c r="L33" s="26" t="s">
        <v>136</v>
      </c>
      <c r="M33" s="26" t="s">
        <v>137</v>
      </c>
    </row>
    <row r="34" spans="1:13">
      <c r="A34" s="19" t="s">
        <v>117</v>
      </c>
      <c r="B34" s="19" t="s">
        <v>138</v>
      </c>
      <c r="C34" s="19" t="s">
        <v>45</v>
      </c>
      <c r="D34" s="25">
        <v>152</v>
      </c>
      <c r="E34" s="19" t="s">
        <v>117</v>
      </c>
      <c r="F34" s="19" t="s">
        <v>139</v>
      </c>
      <c r="G34" s="19" t="s">
        <v>140</v>
      </c>
      <c r="H34" s="25">
        <v>154</v>
      </c>
      <c r="I34" s="24">
        <v>2.5139999389648438</v>
      </c>
      <c r="J34" s="23">
        <v>0</v>
      </c>
      <c r="K34" s="19"/>
      <c r="L34" s="19" t="s">
        <v>141</v>
      </c>
      <c r="M34" s="19" t="s">
        <v>142</v>
      </c>
    </row>
    <row r="35" spans="1:13">
      <c r="A35" s="26" t="s">
        <v>117</v>
      </c>
      <c r="B35" s="26" t="s">
        <v>143</v>
      </c>
      <c r="C35" s="26" t="s">
        <v>140</v>
      </c>
      <c r="D35" s="29">
        <v>154</v>
      </c>
      <c r="E35" s="26" t="s">
        <v>117</v>
      </c>
      <c r="F35" s="26" t="s">
        <v>144</v>
      </c>
      <c r="G35" s="26" t="s">
        <v>123</v>
      </c>
      <c r="H35" s="29">
        <v>156</v>
      </c>
      <c r="I35" s="28">
        <v>1.4229999780654907</v>
      </c>
      <c r="J35" s="27">
        <v>0</v>
      </c>
      <c r="K35" s="26"/>
      <c r="L35" s="26" t="s">
        <v>81</v>
      </c>
      <c r="M35" s="26" t="s">
        <v>145</v>
      </c>
    </row>
    <row r="36" spans="1:13">
      <c r="A36" s="19" t="s">
        <v>117</v>
      </c>
      <c r="B36" s="19" t="s">
        <v>146</v>
      </c>
      <c r="C36" s="19" t="s">
        <v>123</v>
      </c>
      <c r="D36" s="25">
        <v>156</v>
      </c>
      <c r="E36" s="19" t="s">
        <v>117</v>
      </c>
      <c r="F36" s="19" t="s">
        <v>147</v>
      </c>
      <c r="G36" s="19" t="s">
        <v>45</v>
      </c>
      <c r="H36" s="25">
        <v>159</v>
      </c>
      <c r="I36" s="24">
        <v>3.6429998874664307</v>
      </c>
      <c r="J36" s="23">
        <v>0</v>
      </c>
      <c r="K36" s="19"/>
      <c r="L36" s="19" t="s">
        <v>148</v>
      </c>
      <c r="M36" s="19" t="s">
        <v>149</v>
      </c>
    </row>
    <row r="37" spans="1:13">
      <c r="A37" s="26" t="s">
        <v>150</v>
      </c>
      <c r="B37" s="26" t="s">
        <v>151</v>
      </c>
      <c r="C37" s="26" t="s">
        <v>45</v>
      </c>
      <c r="D37" s="29">
        <v>159</v>
      </c>
      <c r="E37" s="26" t="s">
        <v>150</v>
      </c>
      <c r="F37" s="26" t="s">
        <v>152</v>
      </c>
      <c r="G37" s="26" t="s">
        <v>45</v>
      </c>
      <c r="H37" s="29">
        <v>160</v>
      </c>
      <c r="I37" s="28">
        <v>0.42599999904632568</v>
      </c>
      <c r="J37" s="27">
        <v>0</v>
      </c>
      <c r="K37" s="26"/>
      <c r="L37" s="26" t="s">
        <v>153</v>
      </c>
      <c r="M37" s="26" t="s">
        <v>154</v>
      </c>
    </row>
    <row r="38" spans="1:13">
      <c r="A38" s="19" t="s">
        <v>150</v>
      </c>
      <c r="B38" s="19" t="s">
        <v>155</v>
      </c>
      <c r="C38" s="19" t="s">
        <v>17</v>
      </c>
      <c r="D38" s="25">
        <v>160</v>
      </c>
      <c r="E38" s="19" t="s">
        <v>150</v>
      </c>
      <c r="F38" s="19" t="s">
        <v>156</v>
      </c>
      <c r="G38" s="19" t="s">
        <v>17</v>
      </c>
      <c r="H38" s="25">
        <v>160</v>
      </c>
      <c r="I38" s="24">
        <v>0.31400001049041748</v>
      </c>
      <c r="J38" s="23">
        <v>0</v>
      </c>
      <c r="K38" s="19"/>
      <c r="L38" s="19" t="s">
        <v>157</v>
      </c>
      <c r="M38" s="19" t="s">
        <v>158</v>
      </c>
    </row>
    <row r="39" spans="1:13">
      <c r="A39" s="26" t="s">
        <v>150</v>
      </c>
      <c r="B39" s="26" t="s">
        <v>159</v>
      </c>
      <c r="C39" s="26" t="s">
        <v>17</v>
      </c>
      <c r="D39" s="29">
        <v>160</v>
      </c>
      <c r="E39" s="26" t="s">
        <v>150</v>
      </c>
      <c r="F39" s="26" t="s">
        <v>96</v>
      </c>
      <c r="G39" s="26" t="s">
        <v>160</v>
      </c>
      <c r="H39" s="29">
        <v>162</v>
      </c>
      <c r="I39" s="28">
        <v>2.0780000686645508</v>
      </c>
      <c r="J39" s="27">
        <v>0</v>
      </c>
      <c r="K39" s="26"/>
      <c r="L39" s="26" t="s">
        <v>161</v>
      </c>
      <c r="M39" s="26" t="s">
        <v>162</v>
      </c>
    </row>
    <row r="40" spans="1:13">
      <c r="A40" s="19" t="s">
        <v>150</v>
      </c>
      <c r="B40" s="19" t="s">
        <v>163</v>
      </c>
      <c r="C40" s="19" t="s">
        <v>160</v>
      </c>
      <c r="D40" s="25">
        <v>162</v>
      </c>
      <c r="E40" s="19" t="s">
        <v>150</v>
      </c>
      <c r="F40" s="19" t="s">
        <v>164</v>
      </c>
      <c r="G40" s="19" t="s">
        <v>17</v>
      </c>
      <c r="H40" s="25">
        <v>165</v>
      </c>
      <c r="I40" s="24">
        <v>2.0910000801086426</v>
      </c>
      <c r="J40" s="23">
        <v>0</v>
      </c>
      <c r="K40" s="19"/>
      <c r="L40" s="19" t="s">
        <v>133</v>
      </c>
      <c r="M40" s="19" t="s">
        <v>165</v>
      </c>
    </row>
    <row r="41" spans="1:13">
      <c r="A41" s="26" t="s">
        <v>166</v>
      </c>
      <c r="B41" s="26" t="s">
        <v>167</v>
      </c>
      <c r="C41" s="26" t="s">
        <v>17</v>
      </c>
      <c r="D41" s="29">
        <v>165</v>
      </c>
      <c r="E41" s="26" t="s">
        <v>166</v>
      </c>
      <c r="F41" s="26" t="s">
        <v>118</v>
      </c>
      <c r="G41" s="26" t="s">
        <v>168</v>
      </c>
      <c r="H41" s="29">
        <v>176</v>
      </c>
      <c r="I41" s="28">
        <v>11.590999603271484</v>
      </c>
      <c r="J41" s="27">
        <v>0</v>
      </c>
      <c r="K41" s="26"/>
      <c r="L41" s="26" t="s">
        <v>169</v>
      </c>
      <c r="M41" s="26" t="s">
        <v>170</v>
      </c>
    </row>
    <row r="42" spans="1:13">
      <c r="A42" s="19" t="s">
        <v>166</v>
      </c>
      <c r="B42" s="19" t="s">
        <v>104</v>
      </c>
      <c r="C42" s="19" t="s">
        <v>168</v>
      </c>
      <c r="D42" s="25">
        <v>176</v>
      </c>
      <c r="E42" s="19" t="s">
        <v>166</v>
      </c>
      <c r="F42" s="19" t="s">
        <v>171</v>
      </c>
      <c r="G42" s="19" t="s">
        <v>50</v>
      </c>
      <c r="H42" s="25">
        <v>181</v>
      </c>
      <c r="I42" s="24">
        <v>4.9889998435974121</v>
      </c>
      <c r="J42" s="23">
        <v>0</v>
      </c>
      <c r="K42" s="19"/>
      <c r="L42" s="19" t="s">
        <v>172</v>
      </c>
      <c r="M42" s="19" t="s">
        <v>173</v>
      </c>
    </row>
    <row r="43" spans="1:13">
      <c r="A43" s="26" t="s">
        <v>166</v>
      </c>
      <c r="B43" s="26" t="s">
        <v>68</v>
      </c>
      <c r="C43" s="26" t="s">
        <v>50</v>
      </c>
      <c r="D43" s="29">
        <v>181</v>
      </c>
      <c r="E43" s="26" t="s">
        <v>166</v>
      </c>
      <c r="F43" s="26" t="s">
        <v>174</v>
      </c>
      <c r="G43" s="26" t="s">
        <v>85</v>
      </c>
      <c r="H43" s="29">
        <v>186</v>
      </c>
      <c r="I43" s="28">
        <v>4.8730001449584961</v>
      </c>
      <c r="J43" s="27">
        <v>0</v>
      </c>
      <c r="K43" s="26"/>
      <c r="L43" s="26" t="s">
        <v>175</v>
      </c>
      <c r="M43" s="26" t="s">
        <v>176</v>
      </c>
    </row>
    <row r="44" spans="1:13">
      <c r="A44" s="19" t="s">
        <v>166</v>
      </c>
      <c r="B44" s="19" t="s">
        <v>79</v>
      </c>
      <c r="C44" s="19" t="s">
        <v>85</v>
      </c>
      <c r="D44" s="25">
        <v>186</v>
      </c>
      <c r="E44" s="19" t="s">
        <v>166</v>
      </c>
      <c r="F44" s="19" t="s">
        <v>16</v>
      </c>
      <c r="G44" s="19" t="s">
        <v>177</v>
      </c>
      <c r="H44" s="25">
        <v>187</v>
      </c>
      <c r="I44" s="24">
        <v>0.68699997663497925</v>
      </c>
      <c r="J44" s="23">
        <v>0</v>
      </c>
      <c r="K44" s="19"/>
      <c r="L44" s="19" t="s">
        <v>178</v>
      </c>
      <c r="M44" s="19" t="s">
        <v>179</v>
      </c>
    </row>
    <row r="45" spans="1:13">
      <c r="A45" s="26" t="s">
        <v>166</v>
      </c>
      <c r="B45" s="26" t="s">
        <v>80</v>
      </c>
      <c r="C45" s="26" t="s">
        <v>177</v>
      </c>
      <c r="D45" s="29">
        <v>187</v>
      </c>
      <c r="E45" s="26" t="s">
        <v>166</v>
      </c>
      <c r="F45" s="26" t="s">
        <v>180</v>
      </c>
      <c r="G45" s="26" t="s">
        <v>17</v>
      </c>
      <c r="H45" s="29">
        <v>191</v>
      </c>
      <c r="I45" s="28">
        <v>4.5590000152587891</v>
      </c>
      <c r="J45" s="27">
        <v>0</v>
      </c>
      <c r="K45" s="26"/>
      <c r="L45" s="26" t="s">
        <v>181</v>
      </c>
      <c r="M45" s="26" t="s">
        <v>182</v>
      </c>
    </row>
    <row r="46" spans="1:13">
      <c r="A46" s="19" t="s">
        <v>166</v>
      </c>
      <c r="B46" s="19" t="s">
        <v>183</v>
      </c>
      <c r="C46" s="19" t="s">
        <v>17</v>
      </c>
      <c r="D46" s="25">
        <v>191</v>
      </c>
      <c r="E46" s="19" t="s">
        <v>166</v>
      </c>
      <c r="F46" s="19" t="s">
        <v>54</v>
      </c>
      <c r="G46" s="19" t="s">
        <v>17</v>
      </c>
      <c r="H46" s="25">
        <v>192</v>
      </c>
      <c r="I46" s="24">
        <v>0.28400000929832458</v>
      </c>
      <c r="J46" s="23">
        <v>0</v>
      </c>
      <c r="K46" s="19"/>
      <c r="L46" s="19" t="s">
        <v>184</v>
      </c>
      <c r="M46" s="19" t="s">
        <v>185</v>
      </c>
    </row>
    <row r="47" spans="1:13">
      <c r="A47" s="26" t="s">
        <v>166</v>
      </c>
      <c r="B47" s="26" t="s">
        <v>88</v>
      </c>
      <c r="C47" s="26" t="s">
        <v>17</v>
      </c>
      <c r="D47" s="29">
        <v>192</v>
      </c>
      <c r="E47" s="26" t="s">
        <v>166</v>
      </c>
      <c r="F47" s="26" t="s">
        <v>186</v>
      </c>
      <c r="G47" s="26" t="s">
        <v>140</v>
      </c>
      <c r="H47" s="29">
        <v>194</v>
      </c>
      <c r="I47" s="28">
        <v>2.5999999046325684</v>
      </c>
      <c r="J47" s="27">
        <v>0</v>
      </c>
      <c r="K47" s="26"/>
      <c r="L47" s="26" t="s">
        <v>187</v>
      </c>
      <c r="M47" s="26" t="s">
        <v>34</v>
      </c>
    </row>
    <row r="48" spans="1:13">
      <c r="A48" s="19" t="s">
        <v>166</v>
      </c>
      <c r="B48" s="19" t="s">
        <v>92</v>
      </c>
      <c r="C48" s="19" t="s">
        <v>140</v>
      </c>
      <c r="D48" s="25">
        <v>194</v>
      </c>
      <c r="E48" s="19" t="s">
        <v>166</v>
      </c>
      <c r="F48" s="19" t="s">
        <v>188</v>
      </c>
      <c r="G48" s="19" t="s">
        <v>45</v>
      </c>
      <c r="H48" s="25">
        <v>197</v>
      </c>
      <c r="I48" s="24">
        <v>2.7890000343322754</v>
      </c>
      <c r="J48" s="23">
        <v>0</v>
      </c>
      <c r="K48" s="19"/>
      <c r="L48" s="19" t="s">
        <v>189</v>
      </c>
      <c r="M48" s="19" t="s">
        <v>190</v>
      </c>
    </row>
    <row r="49" spans="1:13">
      <c r="A49" s="26" t="s">
        <v>191</v>
      </c>
      <c r="B49" s="26" t="s">
        <v>192</v>
      </c>
      <c r="C49" s="26" t="s">
        <v>45</v>
      </c>
      <c r="D49" s="29">
        <v>197</v>
      </c>
      <c r="E49" s="26" t="s">
        <v>191</v>
      </c>
      <c r="F49" s="26" t="s">
        <v>119</v>
      </c>
      <c r="G49" s="26" t="s">
        <v>193</v>
      </c>
      <c r="H49" s="29">
        <v>210</v>
      </c>
      <c r="I49" s="28">
        <v>13.043999671936035</v>
      </c>
      <c r="J49" s="27">
        <v>0</v>
      </c>
      <c r="K49" s="26"/>
      <c r="L49" s="26" t="s">
        <v>194</v>
      </c>
      <c r="M49" s="26" t="s">
        <v>195</v>
      </c>
    </row>
    <row r="50" spans="1:13">
      <c r="A50" s="19" t="s">
        <v>191</v>
      </c>
      <c r="B50" s="19" t="s">
        <v>75</v>
      </c>
      <c r="C50" s="19" t="s">
        <v>193</v>
      </c>
      <c r="D50" s="25">
        <v>210</v>
      </c>
      <c r="E50" s="19" t="s">
        <v>191</v>
      </c>
      <c r="F50" s="19" t="s">
        <v>196</v>
      </c>
      <c r="G50" s="19" t="s">
        <v>45</v>
      </c>
      <c r="H50" s="25">
        <v>222</v>
      </c>
      <c r="I50" s="24">
        <v>11.836999893188477</v>
      </c>
      <c r="J50" s="23">
        <v>0</v>
      </c>
      <c r="K50" s="19"/>
      <c r="L50" s="19" t="s">
        <v>197</v>
      </c>
      <c r="M50" s="19" t="s">
        <v>198</v>
      </c>
    </row>
    <row r="51" spans="1:13">
      <c r="A51" s="26" t="s">
        <v>199</v>
      </c>
      <c r="B51" s="26" t="s">
        <v>200</v>
      </c>
      <c r="C51" s="26" t="s">
        <v>45</v>
      </c>
      <c r="D51" s="29">
        <v>222</v>
      </c>
      <c r="E51" s="26" t="s">
        <v>199</v>
      </c>
      <c r="F51" s="26" t="s">
        <v>201</v>
      </c>
      <c r="G51" s="26" t="s">
        <v>140</v>
      </c>
      <c r="H51" s="29">
        <v>224</v>
      </c>
      <c r="I51" s="28">
        <v>2.5409998893737793</v>
      </c>
      <c r="J51" s="27">
        <v>0</v>
      </c>
      <c r="K51" s="26"/>
      <c r="L51" s="26" t="s">
        <v>141</v>
      </c>
      <c r="M51" s="26" t="s">
        <v>202</v>
      </c>
    </row>
    <row r="52" spans="1:13">
      <c r="A52" s="19" t="s">
        <v>199</v>
      </c>
      <c r="B52" s="19" t="s">
        <v>203</v>
      </c>
      <c r="C52" s="19" t="s">
        <v>140</v>
      </c>
      <c r="D52" s="25">
        <v>224</v>
      </c>
      <c r="E52" s="19" t="s">
        <v>199</v>
      </c>
      <c r="F52" s="19" t="s">
        <v>204</v>
      </c>
      <c r="G52" s="19" t="s">
        <v>45</v>
      </c>
      <c r="H52" s="25">
        <v>227</v>
      </c>
      <c r="I52" s="24">
        <v>2.8619999885559082</v>
      </c>
      <c r="J52" s="23">
        <v>0</v>
      </c>
      <c r="K52" s="19"/>
      <c r="L52" s="19" t="s">
        <v>205</v>
      </c>
      <c r="M52" s="19" t="s">
        <v>206</v>
      </c>
    </row>
    <row r="53" spans="1:13">
      <c r="A53" s="26" t="s">
        <v>199</v>
      </c>
      <c r="B53" s="26" t="s">
        <v>180</v>
      </c>
      <c r="C53" s="26" t="s">
        <v>45</v>
      </c>
      <c r="D53" s="29">
        <v>227</v>
      </c>
      <c r="E53" s="26" t="s">
        <v>199</v>
      </c>
      <c r="F53" s="26" t="s">
        <v>122</v>
      </c>
      <c r="G53" s="26" t="s">
        <v>85</v>
      </c>
      <c r="H53" s="29">
        <v>233</v>
      </c>
      <c r="I53" s="28">
        <v>5.7280001640319824</v>
      </c>
      <c r="J53" s="27">
        <v>0</v>
      </c>
      <c r="K53" s="26"/>
      <c r="L53" s="26" t="s">
        <v>207</v>
      </c>
      <c r="M53" s="26" t="s">
        <v>208</v>
      </c>
    </row>
    <row r="54" spans="1:13">
      <c r="A54" s="19" t="s">
        <v>199</v>
      </c>
      <c r="B54" s="19" t="s">
        <v>209</v>
      </c>
      <c r="C54" s="19" t="s">
        <v>85</v>
      </c>
      <c r="D54" s="25">
        <v>233</v>
      </c>
      <c r="E54" s="19" t="s">
        <v>199</v>
      </c>
      <c r="F54" s="19" t="s">
        <v>210</v>
      </c>
      <c r="G54" s="19" t="s">
        <v>45</v>
      </c>
      <c r="H54" s="25">
        <v>240</v>
      </c>
      <c r="I54" s="24">
        <v>6.8340001106262207</v>
      </c>
      <c r="J54" s="23">
        <v>0</v>
      </c>
      <c r="K54" s="19"/>
      <c r="L54" s="19" t="s">
        <v>211</v>
      </c>
      <c r="M54" s="19" t="s">
        <v>212</v>
      </c>
    </row>
    <row r="55" spans="1:13">
      <c r="A55" s="26" t="s">
        <v>199</v>
      </c>
      <c r="B55" s="26" t="s">
        <v>213</v>
      </c>
      <c r="C55" s="26" t="s">
        <v>45</v>
      </c>
      <c r="D55" s="29">
        <v>240</v>
      </c>
      <c r="E55" s="26" t="s">
        <v>199</v>
      </c>
      <c r="F55" s="26" t="s">
        <v>214</v>
      </c>
      <c r="G55" s="26" t="s">
        <v>85</v>
      </c>
      <c r="H55" s="29">
        <v>246</v>
      </c>
      <c r="I55" s="28">
        <v>5.7189998626708984</v>
      </c>
      <c r="J55" s="27">
        <v>0</v>
      </c>
      <c r="K55" s="26"/>
      <c r="L55" s="26" t="s">
        <v>215</v>
      </c>
      <c r="M55" s="26" t="s">
        <v>216</v>
      </c>
    </row>
    <row r="56" spans="1:13">
      <c r="A56" s="19" t="s">
        <v>199</v>
      </c>
      <c r="B56" s="19" t="s">
        <v>214</v>
      </c>
      <c r="C56" s="19" t="s">
        <v>85</v>
      </c>
      <c r="D56" s="25">
        <v>246</v>
      </c>
      <c r="E56" s="19" t="s">
        <v>199</v>
      </c>
      <c r="F56" s="19" t="s">
        <v>217</v>
      </c>
      <c r="G56" s="19" t="s">
        <v>218</v>
      </c>
      <c r="H56" s="25">
        <v>249</v>
      </c>
      <c r="I56" s="24">
        <v>3.0230000019073486</v>
      </c>
      <c r="J56" s="23">
        <v>0</v>
      </c>
      <c r="K56" s="19"/>
      <c r="L56" s="19" t="s">
        <v>219</v>
      </c>
      <c r="M56" s="19" t="s">
        <v>220</v>
      </c>
    </row>
    <row r="57" spans="1:13">
      <c r="A57" s="26" t="s">
        <v>199</v>
      </c>
      <c r="B57" s="26" t="s">
        <v>221</v>
      </c>
      <c r="C57" s="26" t="s">
        <v>218</v>
      </c>
      <c r="D57" s="29">
        <v>249</v>
      </c>
      <c r="E57" s="26" t="s">
        <v>199</v>
      </c>
      <c r="F57" s="26" t="s">
        <v>222</v>
      </c>
      <c r="G57" s="26" t="s">
        <v>45</v>
      </c>
      <c r="H57" s="29">
        <v>253</v>
      </c>
      <c r="I57" s="28">
        <v>4.8680000305175781</v>
      </c>
      <c r="J57" s="27">
        <v>0</v>
      </c>
      <c r="K57" s="26"/>
      <c r="L57" s="26" t="s">
        <v>223</v>
      </c>
      <c r="M57" s="26" t="s">
        <v>224</v>
      </c>
    </row>
    <row r="58" spans="1:13">
      <c r="A58" s="19" t="s">
        <v>225</v>
      </c>
      <c r="B58" s="19" t="s">
        <v>226</v>
      </c>
      <c r="C58" s="19" t="s">
        <v>45</v>
      </c>
      <c r="D58" s="25">
        <v>253</v>
      </c>
      <c r="E58" s="19" t="s">
        <v>225</v>
      </c>
      <c r="F58" s="19" t="s">
        <v>44</v>
      </c>
      <c r="G58" s="19" t="s">
        <v>140</v>
      </c>
      <c r="H58" s="25">
        <v>256</v>
      </c>
      <c r="I58" s="24">
        <v>2.5869998931884766</v>
      </c>
      <c r="J58" s="23">
        <v>0</v>
      </c>
      <c r="K58" s="19"/>
      <c r="L58" s="19" t="s">
        <v>227</v>
      </c>
      <c r="M58" s="19" t="s">
        <v>228</v>
      </c>
    </row>
    <row r="59" spans="1:13">
      <c r="A59" s="26" t="s">
        <v>225</v>
      </c>
      <c r="B59" s="26" t="s">
        <v>229</v>
      </c>
      <c r="C59" s="26" t="s">
        <v>230</v>
      </c>
      <c r="D59" s="29">
        <v>256</v>
      </c>
      <c r="E59" s="26" t="s">
        <v>225</v>
      </c>
      <c r="F59" s="26" t="s">
        <v>231</v>
      </c>
      <c r="G59" s="26" t="s">
        <v>232</v>
      </c>
      <c r="H59" s="29">
        <v>259</v>
      </c>
      <c r="I59" s="28">
        <v>2.625</v>
      </c>
      <c r="J59" s="27">
        <v>0</v>
      </c>
      <c r="K59" s="26"/>
      <c r="L59" s="26" t="s">
        <v>233</v>
      </c>
      <c r="M59" s="26" t="s">
        <v>234</v>
      </c>
    </row>
    <row r="60" spans="1:13">
      <c r="A60" s="19" t="s">
        <v>225</v>
      </c>
      <c r="B60" s="19" t="s">
        <v>231</v>
      </c>
      <c r="C60" s="19" t="s">
        <v>232</v>
      </c>
      <c r="D60" s="25">
        <v>259</v>
      </c>
      <c r="E60" s="19" t="s">
        <v>225</v>
      </c>
      <c r="F60" s="19" t="s">
        <v>235</v>
      </c>
      <c r="G60" s="19" t="s">
        <v>45</v>
      </c>
      <c r="H60" s="25">
        <v>260</v>
      </c>
      <c r="I60" s="24">
        <v>1.1000000238418579</v>
      </c>
      <c r="J60" s="23">
        <v>0</v>
      </c>
      <c r="K60" s="19"/>
      <c r="L60" s="19" t="s">
        <v>236</v>
      </c>
      <c r="M60" s="19" t="s">
        <v>237</v>
      </c>
    </row>
    <row r="61" spans="1:13">
      <c r="A61" s="26" t="s">
        <v>225</v>
      </c>
      <c r="B61" s="26" t="s">
        <v>238</v>
      </c>
      <c r="C61" s="26" t="s">
        <v>45</v>
      </c>
      <c r="D61" s="29">
        <v>260</v>
      </c>
      <c r="E61" s="26" t="s">
        <v>225</v>
      </c>
      <c r="F61" s="26" t="s">
        <v>239</v>
      </c>
      <c r="G61" s="26" t="s">
        <v>240</v>
      </c>
      <c r="H61" s="29">
        <v>264</v>
      </c>
      <c r="I61" s="28">
        <v>4.7179999351501465</v>
      </c>
      <c r="J61" s="27">
        <v>0</v>
      </c>
      <c r="K61" s="26"/>
      <c r="L61" s="26" t="s">
        <v>241</v>
      </c>
      <c r="M61" s="26" t="s">
        <v>242</v>
      </c>
    </row>
    <row r="62" spans="1:13">
      <c r="A62" s="19" t="s">
        <v>225</v>
      </c>
      <c r="B62" s="19" t="s">
        <v>243</v>
      </c>
      <c r="C62" s="19" t="s">
        <v>240</v>
      </c>
      <c r="D62" s="25">
        <v>264</v>
      </c>
      <c r="E62" s="19" t="s">
        <v>225</v>
      </c>
      <c r="F62" s="19" t="s">
        <v>244</v>
      </c>
      <c r="G62" s="19" t="s">
        <v>45</v>
      </c>
      <c r="H62" s="25">
        <v>269</v>
      </c>
      <c r="I62" s="24">
        <v>4.5089998245239258</v>
      </c>
      <c r="J62" s="23">
        <v>0</v>
      </c>
      <c r="K62" s="19"/>
      <c r="L62" s="19" t="s">
        <v>245</v>
      </c>
      <c r="M62" s="19" t="s">
        <v>246</v>
      </c>
    </row>
    <row r="63" spans="1:13">
      <c r="A63" s="26" t="s">
        <v>225</v>
      </c>
      <c r="B63" s="26" t="s">
        <v>92</v>
      </c>
      <c r="C63" s="26" t="s">
        <v>45</v>
      </c>
      <c r="D63" s="29">
        <v>269</v>
      </c>
      <c r="E63" s="26" t="s">
        <v>225</v>
      </c>
      <c r="F63" s="26" t="s">
        <v>93</v>
      </c>
      <c r="G63" s="26" t="s">
        <v>247</v>
      </c>
      <c r="H63" s="29">
        <v>274</v>
      </c>
      <c r="I63" s="28">
        <v>4.7639999389648438</v>
      </c>
      <c r="J63" s="27">
        <v>0</v>
      </c>
      <c r="K63" s="26"/>
      <c r="L63" s="26" t="s">
        <v>248</v>
      </c>
      <c r="M63" s="26" t="s">
        <v>249</v>
      </c>
    </row>
    <row r="64" spans="1:13">
      <c r="A64" s="19" t="s">
        <v>225</v>
      </c>
      <c r="B64" s="19" t="s">
        <v>250</v>
      </c>
      <c r="C64" s="19" t="s">
        <v>247</v>
      </c>
      <c r="D64" s="25">
        <v>274</v>
      </c>
      <c r="E64" s="19" t="s">
        <v>225</v>
      </c>
      <c r="F64" s="19" t="s">
        <v>131</v>
      </c>
      <c r="G64" s="19" t="s">
        <v>85</v>
      </c>
      <c r="H64" s="25">
        <v>281</v>
      </c>
      <c r="I64" s="24">
        <v>7.3070001602172852</v>
      </c>
      <c r="J64" s="23">
        <v>0</v>
      </c>
      <c r="K64" s="19"/>
      <c r="L64" s="19" t="s">
        <v>251</v>
      </c>
      <c r="M64" s="19" t="s">
        <v>41</v>
      </c>
    </row>
    <row r="65" spans="1:13">
      <c r="A65" s="26" t="s">
        <v>225</v>
      </c>
      <c r="B65" s="26" t="s">
        <v>33</v>
      </c>
      <c r="C65" s="26" t="s">
        <v>85</v>
      </c>
      <c r="D65" s="29">
        <v>281</v>
      </c>
      <c r="E65" s="26" t="s">
        <v>225</v>
      </c>
      <c r="F65" s="26" t="s">
        <v>252</v>
      </c>
      <c r="G65" s="26" t="s">
        <v>253</v>
      </c>
      <c r="H65" s="29">
        <v>282</v>
      </c>
      <c r="I65" s="28">
        <v>1.0659999847412109</v>
      </c>
      <c r="J65" s="27">
        <v>0</v>
      </c>
      <c r="K65" s="26"/>
      <c r="L65" s="26" t="s">
        <v>173</v>
      </c>
      <c r="M65" s="26" t="s">
        <v>254</v>
      </c>
    </row>
    <row r="66" spans="1:13">
      <c r="A66" s="19" t="s">
        <v>225</v>
      </c>
      <c r="B66" s="19" t="s">
        <v>255</v>
      </c>
      <c r="C66" s="19" t="s">
        <v>253</v>
      </c>
      <c r="D66" s="25">
        <v>282</v>
      </c>
      <c r="E66" s="19" t="s">
        <v>225</v>
      </c>
      <c r="F66" s="19" t="s">
        <v>256</v>
      </c>
      <c r="G66" s="19" t="s">
        <v>45</v>
      </c>
      <c r="H66" s="25">
        <v>286</v>
      </c>
      <c r="I66" s="24">
        <v>4.309999942779541</v>
      </c>
      <c r="J66" s="23">
        <v>0</v>
      </c>
      <c r="K66" s="19"/>
      <c r="L66" s="19" t="s">
        <v>257</v>
      </c>
      <c r="M66" s="19" t="s">
        <v>258</v>
      </c>
    </row>
    <row r="67" spans="1:13">
      <c r="A67" s="26" t="s">
        <v>259</v>
      </c>
      <c r="B67" s="26" t="s">
        <v>260</v>
      </c>
      <c r="C67" s="26" t="s">
        <v>45</v>
      </c>
      <c r="D67" s="29">
        <v>286</v>
      </c>
      <c r="E67" s="26" t="s">
        <v>259</v>
      </c>
      <c r="F67" s="26" t="s">
        <v>261</v>
      </c>
      <c r="G67" s="26" t="s">
        <v>140</v>
      </c>
      <c r="H67" s="29">
        <v>289</v>
      </c>
      <c r="I67" s="28">
        <v>2.5539999008178711</v>
      </c>
      <c r="J67" s="27">
        <v>0</v>
      </c>
      <c r="K67" s="26"/>
      <c r="L67" s="26" t="s">
        <v>262</v>
      </c>
      <c r="M67" s="26" t="s">
        <v>263</v>
      </c>
    </row>
    <row r="68" spans="1:13">
      <c r="A68" s="19" t="s">
        <v>259</v>
      </c>
      <c r="B68" s="19" t="s">
        <v>264</v>
      </c>
      <c r="C68" s="19" t="s">
        <v>140</v>
      </c>
      <c r="D68" s="25">
        <v>289</v>
      </c>
      <c r="E68" s="19" t="s">
        <v>259</v>
      </c>
      <c r="F68" s="19" t="s">
        <v>183</v>
      </c>
      <c r="G68" s="19" t="s">
        <v>45</v>
      </c>
      <c r="H68" s="25">
        <v>292</v>
      </c>
      <c r="I68" s="24">
        <v>2.7990000247955322</v>
      </c>
      <c r="J68" s="23">
        <v>0</v>
      </c>
      <c r="K68" s="19"/>
      <c r="L68" s="19" t="s">
        <v>265</v>
      </c>
      <c r="M68" s="19" t="s">
        <v>266</v>
      </c>
    </row>
    <row r="69" spans="1:13">
      <c r="A69" s="26" t="s">
        <v>267</v>
      </c>
      <c r="B69" s="26" t="s">
        <v>268</v>
      </c>
      <c r="C69" s="26" t="s">
        <v>17</v>
      </c>
      <c r="D69" s="29">
        <v>292</v>
      </c>
      <c r="E69" s="26" t="s">
        <v>267</v>
      </c>
      <c r="F69" s="26" t="s">
        <v>119</v>
      </c>
      <c r="G69" s="26" t="s">
        <v>50</v>
      </c>
      <c r="H69" s="29">
        <v>301</v>
      </c>
      <c r="I69" s="28">
        <v>9.2770004272460938</v>
      </c>
      <c r="J69" s="27">
        <v>0</v>
      </c>
      <c r="K69" s="26"/>
      <c r="L69" s="26" t="s">
        <v>269</v>
      </c>
      <c r="M69" s="26" t="s">
        <v>270</v>
      </c>
    </row>
    <row r="70" spans="1:13">
      <c r="A70" s="19" t="s">
        <v>267</v>
      </c>
      <c r="B70" s="19" t="s">
        <v>76</v>
      </c>
      <c r="C70" s="19" t="s">
        <v>50</v>
      </c>
      <c r="D70" s="25">
        <v>301</v>
      </c>
      <c r="E70" s="19" t="s">
        <v>267</v>
      </c>
      <c r="F70" s="19" t="s">
        <v>271</v>
      </c>
      <c r="G70" s="19" t="s">
        <v>17</v>
      </c>
      <c r="H70" s="25">
        <v>310</v>
      </c>
      <c r="I70" s="24">
        <v>9.4610004425048828</v>
      </c>
      <c r="J70" s="23">
        <v>0</v>
      </c>
      <c r="K70" s="19"/>
      <c r="L70" s="19" t="s">
        <v>272</v>
      </c>
      <c r="M70" s="19" t="s">
        <v>273</v>
      </c>
    </row>
    <row r="71" spans="1:13">
      <c r="A71" s="26" t="s">
        <v>267</v>
      </c>
      <c r="B71" s="26" t="s">
        <v>271</v>
      </c>
      <c r="C71" s="26" t="s">
        <v>17</v>
      </c>
      <c r="D71" s="29">
        <v>310</v>
      </c>
      <c r="E71" s="26" t="s">
        <v>267</v>
      </c>
      <c r="F71" s="26" t="s">
        <v>22</v>
      </c>
      <c r="G71" s="26" t="s">
        <v>17</v>
      </c>
      <c r="H71" s="29">
        <v>311</v>
      </c>
      <c r="I71" s="28">
        <v>0.22300000488758087</v>
      </c>
      <c r="J71" s="27">
        <v>0</v>
      </c>
      <c r="K71" s="26"/>
      <c r="L71" s="26" t="s">
        <v>274</v>
      </c>
      <c r="M71" s="26" t="s">
        <v>275</v>
      </c>
    </row>
    <row r="72" spans="1:13">
      <c r="A72" s="19" t="s">
        <v>276</v>
      </c>
      <c r="B72" s="19" t="s">
        <v>277</v>
      </c>
      <c r="C72" s="19" t="s">
        <v>17</v>
      </c>
      <c r="D72" s="25">
        <v>311</v>
      </c>
      <c r="E72" s="19" t="s">
        <v>276</v>
      </c>
      <c r="F72" s="19" t="s">
        <v>222</v>
      </c>
      <c r="G72" s="19" t="s">
        <v>29</v>
      </c>
      <c r="H72" s="25">
        <v>312</v>
      </c>
      <c r="I72" s="24">
        <v>1.156000018119812</v>
      </c>
      <c r="J72" s="23">
        <v>0</v>
      </c>
      <c r="K72" s="19"/>
      <c r="L72" s="19" t="s">
        <v>278</v>
      </c>
      <c r="M72" s="19" t="s">
        <v>279</v>
      </c>
    </row>
    <row r="73" spans="1:13">
      <c r="A73" s="26" t="s">
        <v>276</v>
      </c>
      <c r="B73" s="26" t="s">
        <v>164</v>
      </c>
      <c r="C73" s="26" t="s">
        <v>29</v>
      </c>
      <c r="D73" s="29">
        <v>312</v>
      </c>
      <c r="E73" s="26" t="s">
        <v>276</v>
      </c>
      <c r="F73" s="26" t="s">
        <v>250</v>
      </c>
      <c r="G73" s="26" t="s">
        <v>280</v>
      </c>
      <c r="H73" s="29">
        <v>316</v>
      </c>
      <c r="I73" s="28">
        <v>4.625999927520752</v>
      </c>
      <c r="J73" s="27">
        <v>0</v>
      </c>
      <c r="K73" s="26"/>
      <c r="L73" s="26" t="s">
        <v>281</v>
      </c>
      <c r="M73" s="26" t="s">
        <v>282</v>
      </c>
    </row>
    <row r="74" spans="1:13">
      <c r="A74" s="19" t="s">
        <v>276</v>
      </c>
      <c r="B74" s="19" t="s">
        <v>32</v>
      </c>
      <c r="C74" s="19" t="s">
        <v>283</v>
      </c>
      <c r="D74" s="25">
        <v>316</v>
      </c>
      <c r="E74" s="19" t="s">
        <v>276</v>
      </c>
      <c r="F74" s="19" t="s">
        <v>252</v>
      </c>
      <c r="G74" s="19" t="s">
        <v>17</v>
      </c>
      <c r="H74" s="25">
        <v>322</v>
      </c>
      <c r="I74" s="24">
        <v>5.1909999847412109</v>
      </c>
      <c r="J74" s="23">
        <v>0</v>
      </c>
      <c r="K74" s="19"/>
      <c r="L74" s="19" t="s">
        <v>284</v>
      </c>
      <c r="M74" s="19" t="s">
        <v>285</v>
      </c>
    </row>
    <row r="75" spans="1:13">
      <c r="A75" s="26" t="s">
        <v>286</v>
      </c>
      <c r="B75" s="26" t="s">
        <v>287</v>
      </c>
      <c r="C75" s="26" t="s">
        <v>17</v>
      </c>
      <c r="D75" s="29">
        <v>322</v>
      </c>
      <c r="E75" s="26" t="s">
        <v>286</v>
      </c>
      <c r="F75" s="26" t="s">
        <v>288</v>
      </c>
      <c r="G75" s="26" t="s">
        <v>29</v>
      </c>
      <c r="H75" s="29">
        <v>323</v>
      </c>
      <c r="I75" s="28">
        <v>1.1950000524520874</v>
      </c>
      <c r="J75" s="27">
        <v>0</v>
      </c>
      <c r="K75" s="26"/>
      <c r="L75" s="26" t="s">
        <v>289</v>
      </c>
      <c r="M75" s="26" t="s">
        <v>290</v>
      </c>
    </row>
    <row r="76" spans="1:13">
      <c r="A76" s="19" t="s">
        <v>286</v>
      </c>
      <c r="B76" s="19" t="s">
        <v>186</v>
      </c>
      <c r="C76" s="19" t="s">
        <v>29</v>
      </c>
      <c r="D76" s="25">
        <v>323</v>
      </c>
      <c r="E76" s="19" t="s">
        <v>286</v>
      </c>
      <c r="F76" s="19" t="s">
        <v>291</v>
      </c>
      <c r="G76" s="19" t="s">
        <v>292</v>
      </c>
      <c r="H76" s="25">
        <v>324</v>
      </c>
      <c r="I76" s="24">
        <v>0.98199999332427979</v>
      </c>
      <c r="J76" s="23">
        <v>0</v>
      </c>
      <c r="K76" s="19"/>
      <c r="L76" s="19" t="s">
        <v>293</v>
      </c>
      <c r="M76" s="19" t="s">
        <v>294</v>
      </c>
    </row>
    <row r="77" spans="1:13">
      <c r="A77" s="26" t="s">
        <v>286</v>
      </c>
      <c r="B77" s="26" t="s">
        <v>291</v>
      </c>
      <c r="C77" s="26" t="s">
        <v>292</v>
      </c>
      <c r="D77" s="29">
        <v>324</v>
      </c>
      <c r="E77" s="26" t="s">
        <v>286</v>
      </c>
      <c r="F77" s="26" t="s">
        <v>217</v>
      </c>
      <c r="G77" s="26" t="s">
        <v>45</v>
      </c>
      <c r="H77" s="29">
        <v>326</v>
      </c>
      <c r="I77" s="28">
        <v>2.0899999141693115</v>
      </c>
      <c r="J77" s="27">
        <v>0</v>
      </c>
      <c r="K77" s="26"/>
      <c r="L77" s="26" t="s">
        <v>295</v>
      </c>
      <c r="M77" s="26" t="s">
        <v>296</v>
      </c>
    </row>
    <row r="78" spans="1:13">
      <c r="A78" s="19" t="s">
        <v>297</v>
      </c>
      <c r="B78" s="19" t="s">
        <v>298</v>
      </c>
      <c r="C78" s="19" t="s">
        <v>45</v>
      </c>
      <c r="D78" s="25">
        <v>326</v>
      </c>
      <c r="E78" s="19" t="s">
        <v>297</v>
      </c>
      <c r="F78" s="19" t="s">
        <v>192</v>
      </c>
      <c r="G78" s="19" t="s">
        <v>17</v>
      </c>
      <c r="H78" s="25">
        <v>327</v>
      </c>
      <c r="I78" s="24">
        <v>1.156999945640564</v>
      </c>
      <c r="J78" s="23">
        <v>0</v>
      </c>
      <c r="K78" s="19"/>
      <c r="L78" s="19" t="s">
        <v>278</v>
      </c>
      <c r="M78" s="19" t="s">
        <v>299</v>
      </c>
    </row>
    <row r="79" spans="1:13">
      <c r="A79" s="26" t="s">
        <v>300</v>
      </c>
      <c r="B79" s="26" t="s">
        <v>301</v>
      </c>
      <c r="C79" s="26" t="s">
        <v>17</v>
      </c>
      <c r="D79" s="29">
        <v>327</v>
      </c>
      <c r="E79" s="26" t="s">
        <v>300</v>
      </c>
      <c r="F79" s="26" t="s">
        <v>302</v>
      </c>
      <c r="G79" s="26" t="s">
        <v>17</v>
      </c>
      <c r="H79" s="29">
        <v>328</v>
      </c>
      <c r="I79" s="28">
        <v>0.5220000147819519</v>
      </c>
      <c r="J79" s="27">
        <v>0</v>
      </c>
      <c r="K79" s="26"/>
      <c r="L79" s="26" t="s">
        <v>303</v>
      </c>
      <c r="M79" s="26" t="s">
        <v>304</v>
      </c>
    </row>
    <row r="80" spans="1:13">
      <c r="A80" s="19" t="s">
        <v>305</v>
      </c>
      <c r="B80" s="19" t="s">
        <v>80</v>
      </c>
      <c r="C80" s="19" t="s">
        <v>17</v>
      </c>
      <c r="D80" s="25">
        <v>328</v>
      </c>
      <c r="E80" s="19" t="s">
        <v>305</v>
      </c>
      <c r="F80" s="19" t="s">
        <v>306</v>
      </c>
      <c r="G80" s="19" t="s">
        <v>307</v>
      </c>
      <c r="H80" s="25">
        <v>334</v>
      </c>
      <c r="I80" s="24">
        <v>6.4559998512268066</v>
      </c>
      <c r="J80" s="23">
        <v>0</v>
      </c>
      <c r="K80" s="19"/>
      <c r="L80" s="19" t="s">
        <v>308</v>
      </c>
      <c r="M80" s="19" t="s">
        <v>309</v>
      </c>
    </row>
    <row r="81" spans="1:13">
      <c r="A81" s="26" t="s">
        <v>305</v>
      </c>
      <c r="B81" s="26" t="s">
        <v>306</v>
      </c>
      <c r="C81" s="26" t="s">
        <v>307</v>
      </c>
      <c r="D81" s="29">
        <v>334</v>
      </c>
      <c r="E81" s="26" t="s">
        <v>305</v>
      </c>
      <c r="F81" s="26" t="s">
        <v>58</v>
      </c>
      <c r="G81" s="26" t="s">
        <v>110</v>
      </c>
      <c r="H81" s="29">
        <v>339</v>
      </c>
      <c r="I81" s="28">
        <v>4.5859999656677246</v>
      </c>
      <c r="J81" s="27">
        <v>0</v>
      </c>
      <c r="K81" s="26"/>
      <c r="L81" s="26" t="s">
        <v>128</v>
      </c>
      <c r="M81" s="26" t="s">
        <v>310</v>
      </c>
    </row>
    <row r="82" spans="1:13">
      <c r="A82" s="19" t="s">
        <v>305</v>
      </c>
      <c r="B82" s="19" t="s">
        <v>311</v>
      </c>
      <c r="C82" s="19" t="s">
        <v>110</v>
      </c>
      <c r="D82" s="25">
        <v>339</v>
      </c>
      <c r="E82" s="19" t="s">
        <v>305</v>
      </c>
      <c r="F82" s="19" t="s">
        <v>312</v>
      </c>
      <c r="G82" s="19" t="s">
        <v>17</v>
      </c>
      <c r="H82" s="25">
        <v>348</v>
      </c>
      <c r="I82" s="24">
        <v>9.175999641418457</v>
      </c>
      <c r="J82" s="23">
        <v>0</v>
      </c>
      <c r="K82" s="19"/>
      <c r="L82" s="19" t="s">
        <v>313</v>
      </c>
      <c r="M82" s="19" t="s">
        <v>314</v>
      </c>
    </row>
    <row r="83" spans="1:13">
      <c r="A83" s="26" t="s">
        <v>305</v>
      </c>
      <c r="B83" s="26" t="s">
        <v>315</v>
      </c>
      <c r="C83" s="26" t="s">
        <v>17</v>
      </c>
      <c r="D83" s="29">
        <v>348</v>
      </c>
      <c r="E83" s="26" t="s">
        <v>305</v>
      </c>
      <c r="F83" s="26" t="s">
        <v>316</v>
      </c>
      <c r="G83" s="26" t="s">
        <v>317</v>
      </c>
      <c r="H83" s="29">
        <v>372</v>
      </c>
      <c r="I83" s="28">
        <v>24</v>
      </c>
      <c r="J83" s="27">
        <v>0</v>
      </c>
      <c r="K83" s="26"/>
      <c r="L83" s="26" t="s">
        <v>318</v>
      </c>
      <c r="M83" s="26" t="s">
        <v>319</v>
      </c>
    </row>
    <row r="84" spans="1:13">
      <c r="A84" s="19" t="s">
        <v>305</v>
      </c>
      <c r="B84" s="19" t="s">
        <v>320</v>
      </c>
      <c r="C84" s="19" t="s">
        <v>317</v>
      </c>
      <c r="D84" s="25">
        <v>372</v>
      </c>
      <c r="E84" s="19" t="s">
        <v>305</v>
      </c>
      <c r="F84" s="19" t="s">
        <v>321</v>
      </c>
      <c r="G84" s="19" t="s">
        <v>322</v>
      </c>
      <c r="H84" s="25">
        <v>372</v>
      </c>
      <c r="I84" s="24">
        <v>0.27810010313987732</v>
      </c>
      <c r="J84" s="23">
        <v>0</v>
      </c>
      <c r="K84" s="30" t="s">
        <v>323</v>
      </c>
      <c r="L84" s="19" t="s">
        <v>324</v>
      </c>
      <c r="M84" s="19" t="s">
        <v>325</v>
      </c>
    </row>
    <row r="85" spans="1:13">
      <c r="A85" s="26" t="s">
        <v>326</v>
      </c>
      <c r="B85" s="26" t="s">
        <v>327</v>
      </c>
      <c r="C85" s="26" t="s">
        <v>322</v>
      </c>
      <c r="D85" s="29">
        <v>372</v>
      </c>
      <c r="E85" s="26" t="s">
        <v>326</v>
      </c>
      <c r="F85" s="26" t="s">
        <v>328</v>
      </c>
      <c r="G85" s="26" t="s">
        <v>17</v>
      </c>
      <c r="H85" s="29">
        <v>396</v>
      </c>
      <c r="I85" s="28">
        <v>24.041999816894531</v>
      </c>
      <c r="J85" s="27">
        <v>0</v>
      </c>
      <c r="K85" s="26"/>
      <c r="L85" s="26" t="s">
        <v>329</v>
      </c>
      <c r="M85" s="26" t="s">
        <v>330</v>
      </c>
    </row>
    <row r="86" spans="1:13">
      <c r="A86" s="19" t="s">
        <v>326</v>
      </c>
      <c r="B86" s="19" t="s">
        <v>260</v>
      </c>
      <c r="C86" s="19" t="s">
        <v>17</v>
      </c>
      <c r="D86" s="25">
        <v>396</v>
      </c>
      <c r="E86" s="19" t="s">
        <v>326</v>
      </c>
      <c r="F86" s="19" t="s">
        <v>72</v>
      </c>
      <c r="G86" s="19" t="s">
        <v>85</v>
      </c>
      <c r="H86" s="25">
        <v>402</v>
      </c>
      <c r="I86" s="24">
        <v>5.6989998817443848</v>
      </c>
      <c r="J86" s="23">
        <v>0</v>
      </c>
      <c r="K86" s="19"/>
      <c r="L86" s="19" t="s">
        <v>172</v>
      </c>
      <c r="M86" s="19" t="s">
        <v>331</v>
      </c>
    </row>
    <row r="87" spans="1:13">
      <c r="A87" s="26" t="s">
        <v>326</v>
      </c>
      <c r="B87" s="26" t="s">
        <v>332</v>
      </c>
      <c r="C87" s="26" t="s">
        <v>85</v>
      </c>
      <c r="D87" s="29">
        <v>402</v>
      </c>
      <c r="E87" s="26" t="s">
        <v>326</v>
      </c>
      <c r="F87" s="26" t="s">
        <v>18</v>
      </c>
      <c r="G87" s="26" t="s">
        <v>177</v>
      </c>
      <c r="H87" s="29">
        <v>402</v>
      </c>
      <c r="I87" s="28">
        <v>0.74199998378753662</v>
      </c>
      <c r="J87" s="27">
        <v>0</v>
      </c>
      <c r="K87" s="26"/>
      <c r="L87" s="26" t="s">
        <v>220</v>
      </c>
      <c r="M87" s="26" t="s">
        <v>333</v>
      </c>
    </row>
    <row r="88" spans="1:13">
      <c r="A88" s="19" t="s">
        <v>326</v>
      </c>
      <c r="B88" s="19" t="s">
        <v>334</v>
      </c>
      <c r="C88" s="19" t="s">
        <v>177</v>
      </c>
      <c r="D88" s="25">
        <v>402</v>
      </c>
      <c r="E88" s="19" t="s">
        <v>326</v>
      </c>
      <c r="F88" s="19" t="s">
        <v>23</v>
      </c>
      <c r="G88" s="19" t="s">
        <v>335</v>
      </c>
      <c r="H88" s="25">
        <v>406</v>
      </c>
      <c r="I88" s="24">
        <v>3.7030000686645508</v>
      </c>
      <c r="J88" s="23">
        <v>0</v>
      </c>
      <c r="K88" s="19"/>
      <c r="L88" s="19" t="s">
        <v>336</v>
      </c>
      <c r="M88" s="19" t="s">
        <v>337</v>
      </c>
    </row>
    <row r="89" spans="1:13">
      <c r="A89" s="26" t="s">
        <v>326</v>
      </c>
      <c r="B89" s="26" t="s">
        <v>338</v>
      </c>
      <c r="C89" s="26" t="s">
        <v>335</v>
      </c>
      <c r="D89" s="29">
        <v>406</v>
      </c>
      <c r="E89" s="26" t="s">
        <v>326</v>
      </c>
      <c r="F89" s="26" t="s">
        <v>339</v>
      </c>
      <c r="G89" s="26" t="s">
        <v>17</v>
      </c>
      <c r="H89" s="29">
        <v>408</v>
      </c>
      <c r="I89" s="28">
        <v>2.0429999828338623</v>
      </c>
      <c r="J89" s="27">
        <v>0</v>
      </c>
      <c r="K89" s="26"/>
      <c r="L89" s="26" t="s">
        <v>340</v>
      </c>
      <c r="M89" s="26" t="s">
        <v>341</v>
      </c>
    </row>
    <row r="90" spans="1:13">
      <c r="A90" s="19" t="s">
        <v>342</v>
      </c>
      <c r="B90" s="19" t="s">
        <v>171</v>
      </c>
      <c r="C90" s="19" t="s">
        <v>17</v>
      </c>
      <c r="D90" s="25">
        <v>408</v>
      </c>
      <c r="E90" s="19" t="s">
        <v>342</v>
      </c>
      <c r="F90" s="19" t="s">
        <v>75</v>
      </c>
      <c r="G90" s="19" t="s">
        <v>85</v>
      </c>
      <c r="H90" s="25">
        <v>414</v>
      </c>
      <c r="I90" s="24">
        <v>5.4460000991821289</v>
      </c>
      <c r="J90" s="23">
        <v>0</v>
      </c>
      <c r="K90" s="19"/>
      <c r="L90" s="19" t="s">
        <v>343</v>
      </c>
      <c r="M90" s="19" t="s">
        <v>145</v>
      </c>
    </row>
    <row r="91" spans="1:13">
      <c r="A91" s="26" t="s">
        <v>342</v>
      </c>
      <c r="B91" s="26" t="s">
        <v>344</v>
      </c>
      <c r="C91" s="26" t="s">
        <v>85</v>
      </c>
      <c r="D91" s="29">
        <v>414</v>
      </c>
      <c r="E91" s="26" t="s">
        <v>342</v>
      </c>
      <c r="F91" s="26" t="s">
        <v>22</v>
      </c>
      <c r="G91" s="26" t="s">
        <v>17</v>
      </c>
      <c r="H91" s="29">
        <v>421</v>
      </c>
      <c r="I91" s="28">
        <v>7.0089998245239258</v>
      </c>
      <c r="J91" s="27">
        <v>0</v>
      </c>
      <c r="K91" s="26"/>
      <c r="L91" s="26" t="s">
        <v>345</v>
      </c>
      <c r="M91" s="26" t="s">
        <v>346</v>
      </c>
    </row>
    <row r="92" spans="1:13">
      <c r="A92" s="19" t="s">
        <v>342</v>
      </c>
      <c r="B92" s="19" t="s">
        <v>347</v>
      </c>
      <c r="C92" s="19" t="s">
        <v>17</v>
      </c>
      <c r="D92" s="25">
        <v>421</v>
      </c>
      <c r="E92" s="19" t="s">
        <v>342</v>
      </c>
      <c r="F92" s="19" t="s">
        <v>163</v>
      </c>
      <c r="G92" s="19" t="s">
        <v>253</v>
      </c>
      <c r="H92" s="25">
        <v>426</v>
      </c>
      <c r="I92" s="24">
        <v>5.3850002288818359</v>
      </c>
      <c r="J92" s="23">
        <v>0</v>
      </c>
      <c r="K92" s="19"/>
      <c r="L92" s="19" t="s">
        <v>348</v>
      </c>
      <c r="M92" s="19" t="s">
        <v>349</v>
      </c>
    </row>
    <row r="93" spans="1:13">
      <c r="A93" s="26" t="s">
        <v>342</v>
      </c>
      <c r="B93" s="26" t="s">
        <v>350</v>
      </c>
      <c r="C93" s="26" t="s">
        <v>253</v>
      </c>
      <c r="D93" s="29">
        <v>426</v>
      </c>
      <c r="E93" s="26" t="s">
        <v>342</v>
      </c>
      <c r="F93" s="26" t="s">
        <v>351</v>
      </c>
      <c r="G93" s="26" t="s">
        <v>17</v>
      </c>
      <c r="H93" s="29">
        <v>431</v>
      </c>
      <c r="I93" s="28">
        <v>4.5190000534057617</v>
      </c>
      <c r="J93" s="27">
        <v>0</v>
      </c>
      <c r="K93" s="26"/>
      <c r="L93" s="26" t="s">
        <v>352</v>
      </c>
      <c r="M93" s="26" t="s">
        <v>353</v>
      </c>
    </row>
    <row r="94" spans="1:13">
      <c r="A94" s="19" t="s">
        <v>342</v>
      </c>
      <c r="B94" s="19" t="s">
        <v>354</v>
      </c>
      <c r="C94" s="19" t="s">
        <v>17</v>
      </c>
      <c r="D94" s="25">
        <v>431</v>
      </c>
      <c r="E94" s="19" t="s">
        <v>342</v>
      </c>
      <c r="F94" s="19" t="s">
        <v>355</v>
      </c>
      <c r="G94" s="19" t="s">
        <v>356</v>
      </c>
      <c r="H94" s="25">
        <v>433</v>
      </c>
      <c r="I94" s="24">
        <v>2.8220000267028809</v>
      </c>
      <c r="J94" s="23">
        <v>0</v>
      </c>
      <c r="K94" s="19"/>
      <c r="L94" s="19" t="s">
        <v>357</v>
      </c>
      <c r="M94" s="19" t="s">
        <v>337</v>
      </c>
    </row>
    <row r="95" spans="1:13">
      <c r="A95" s="26" t="s">
        <v>342</v>
      </c>
      <c r="B95" s="26" t="s">
        <v>358</v>
      </c>
      <c r="C95" s="26" t="s">
        <v>356</v>
      </c>
      <c r="D95" s="29">
        <v>433</v>
      </c>
      <c r="E95" s="26" t="s">
        <v>342</v>
      </c>
      <c r="F95" s="26" t="s">
        <v>359</v>
      </c>
      <c r="G95" s="26" t="s">
        <v>45</v>
      </c>
      <c r="H95" s="29">
        <v>436</v>
      </c>
      <c r="I95" s="28">
        <v>2.7030000686645508</v>
      </c>
      <c r="J95" s="27">
        <v>0</v>
      </c>
      <c r="K95" s="26"/>
      <c r="L95" s="26" t="s">
        <v>360</v>
      </c>
      <c r="M95" s="26" t="s">
        <v>361</v>
      </c>
    </row>
    <row r="96" spans="1:13">
      <c r="A96" s="19" t="s">
        <v>362</v>
      </c>
      <c r="B96" s="19" t="s">
        <v>363</v>
      </c>
      <c r="C96" s="19" t="s">
        <v>45</v>
      </c>
      <c r="D96" s="25">
        <v>436</v>
      </c>
      <c r="E96" s="19" t="s">
        <v>362</v>
      </c>
      <c r="F96" s="19" t="s">
        <v>167</v>
      </c>
      <c r="G96" s="19" t="s">
        <v>364</v>
      </c>
      <c r="H96" s="25">
        <v>437</v>
      </c>
      <c r="I96" s="24">
        <v>0.90100002288818359</v>
      </c>
      <c r="J96" s="23">
        <v>0</v>
      </c>
      <c r="K96" s="19"/>
      <c r="L96" s="19" t="s">
        <v>365</v>
      </c>
      <c r="M96" s="19" t="s">
        <v>366</v>
      </c>
    </row>
    <row r="97" spans="1:13">
      <c r="A97" s="26" t="s">
        <v>362</v>
      </c>
      <c r="B97" s="26" t="s">
        <v>367</v>
      </c>
      <c r="C97" s="26" t="s">
        <v>364</v>
      </c>
      <c r="D97" s="29">
        <v>437</v>
      </c>
      <c r="E97" s="26" t="s">
        <v>362</v>
      </c>
      <c r="F97" s="26" t="s">
        <v>75</v>
      </c>
      <c r="G97" s="26" t="s">
        <v>17</v>
      </c>
      <c r="H97" s="29">
        <v>438</v>
      </c>
      <c r="I97" s="28">
        <v>1.1239999532699585</v>
      </c>
      <c r="J97" s="27">
        <v>0</v>
      </c>
      <c r="K97" s="26"/>
      <c r="L97" s="26" t="s">
        <v>368</v>
      </c>
      <c r="M97" s="26" t="s">
        <v>369</v>
      </c>
    </row>
    <row r="98" spans="1:13">
      <c r="A98" s="19" t="s">
        <v>370</v>
      </c>
      <c r="B98" s="19" t="s">
        <v>287</v>
      </c>
      <c r="C98" s="19" t="s">
        <v>17</v>
      </c>
      <c r="D98" s="25">
        <v>438</v>
      </c>
      <c r="E98" s="19" t="s">
        <v>370</v>
      </c>
      <c r="F98" s="19" t="s">
        <v>371</v>
      </c>
      <c r="G98" s="19" t="s">
        <v>73</v>
      </c>
      <c r="H98" s="25">
        <v>441</v>
      </c>
      <c r="I98" s="24">
        <v>2.752000093460083</v>
      </c>
      <c r="J98" s="23">
        <v>0</v>
      </c>
      <c r="K98" s="19"/>
      <c r="L98" s="19" t="s">
        <v>372</v>
      </c>
      <c r="M98" s="19" t="s">
        <v>373</v>
      </c>
    </row>
    <row r="99" spans="1:13">
      <c r="A99" s="26" t="s">
        <v>370</v>
      </c>
      <c r="B99" s="26" t="s">
        <v>374</v>
      </c>
      <c r="C99" s="26" t="s">
        <v>73</v>
      </c>
      <c r="D99" s="29">
        <v>441</v>
      </c>
      <c r="E99" s="26" t="s">
        <v>370</v>
      </c>
      <c r="F99" s="26" t="s">
        <v>375</v>
      </c>
      <c r="G99" s="26" t="s">
        <v>376</v>
      </c>
      <c r="H99" s="29">
        <v>442</v>
      </c>
      <c r="I99" s="28">
        <v>1.6299999952316284</v>
      </c>
      <c r="J99" s="27">
        <v>0</v>
      </c>
      <c r="K99" s="26"/>
      <c r="L99" s="26" t="s">
        <v>377</v>
      </c>
      <c r="M99" s="26" t="s">
        <v>378</v>
      </c>
    </row>
    <row r="100" spans="1:13">
      <c r="A100" s="19" t="s">
        <v>370</v>
      </c>
      <c r="B100" s="19" t="s">
        <v>83</v>
      </c>
      <c r="C100" s="19" t="s">
        <v>376</v>
      </c>
      <c r="D100" s="25">
        <v>442</v>
      </c>
      <c r="E100" s="19" t="s">
        <v>370</v>
      </c>
      <c r="F100" s="19" t="s">
        <v>379</v>
      </c>
      <c r="G100" s="19" t="s">
        <v>17</v>
      </c>
      <c r="H100" s="25">
        <v>444</v>
      </c>
      <c r="I100" s="24">
        <v>1.309999942779541</v>
      </c>
      <c r="J100" s="23">
        <v>0</v>
      </c>
      <c r="K100" s="19"/>
      <c r="L100" s="19" t="s">
        <v>137</v>
      </c>
      <c r="M100" s="19" t="s">
        <v>380</v>
      </c>
    </row>
    <row r="101" spans="1:13">
      <c r="A101" s="26" t="s">
        <v>381</v>
      </c>
      <c r="B101" s="26" t="s">
        <v>382</v>
      </c>
      <c r="C101" s="26" t="s">
        <v>45</v>
      </c>
      <c r="D101" s="29">
        <v>444</v>
      </c>
      <c r="E101" s="26" t="s">
        <v>381</v>
      </c>
      <c r="F101" s="26" t="s">
        <v>383</v>
      </c>
      <c r="G101" s="26" t="s">
        <v>384</v>
      </c>
      <c r="H101" s="29">
        <v>445</v>
      </c>
      <c r="I101" s="28">
        <v>0.91900002956390381</v>
      </c>
      <c r="J101" s="27">
        <v>0</v>
      </c>
      <c r="K101" s="26"/>
      <c r="L101" s="26" t="s">
        <v>377</v>
      </c>
      <c r="M101" s="26" t="s">
        <v>385</v>
      </c>
    </row>
    <row r="102" spans="1:13">
      <c r="A102" s="19" t="s">
        <v>381</v>
      </c>
      <c r="B102" s="19" t="s">
        <v>383</v>
      </c>
      <c r="C102" s="19" t="s">
        <v>384</v>
      </c>
      <c r="D102" s="25">
        <v>445</v>
      </c>
      <c r="E102" s="19" t="s">
        <v>381</v>
      </c>
      <c r="F102" s="19" t="s">
        <v>268</v>
      </c>
      <c r="G102" s="19" t="s">
        <v>386</v>
      </c>
      <c r="H102" s="25">
        <v>446</v>
      </c>
      <c r="I102" s="24">
        <v>1.4500000476837158</v>
      </c>
      <c r="J102" s="23">
        <v>0</v>
      </c>
      <c r="K102" s="19"/>
      <c r="L102" s="19" t="s">
        <v>387</v>
      </c>
      <c r="M102" s="19" t="s">
        <v>388</v>
      </c>
    </row>
    <row r="103" spans="1:13">
      <c r="A103" s="26" t="s">
        <v>381</v>
      </c>
      <c r="B103" s="26" t="s">
        <v>243</v>
      </c>
      <c r="C103" s="26" t="s">
        <v>386</v>
      </c>
      <c r="D103" s="29">
        <v>446</v>
      </c>
      <c r="E103" s="26" t="s">
        <v>381</v>
      </c>
      <c r="F103" s="26" t="s">
        <v>389</v>
      </c>
      <c r="G103" s="26" t="s">
        <v>390</v>
      </c>
      <c r="H103" s="29">
        <v>450</v>
      </c>
      <c r="I103" s="28">
        <v>3.3090000152587891</v>
      </c>
      <c r="J103" s="27">
        <v>0</v>
      </c>
      <c r="K103" s="26"/>
      <c r="L103" s="26" t="s">
        <v>391</v>
      </c>
      <c r="M103" s="26" t="s">
        <v>392</v>
      </c>
    </row>
    <row r="104" spans="1:13">
      <c r="A104" s="19" t="s">
        <v>381</v>
      </c>
      <c r="B104" s="19" t="s">
        <v>312</v>
      </c>
      <c r="C104" s="19" t="s">
        <v>390</v>
      </c>
      <c r="D104" s="25">
        <v>450</v>
      </c>
      <c r="E104" s="19" t="s">
        <v>381</v>
      </c>
      <c r="F104" s="19" t="s">
        <v>393</v>
      </c>
      <c r="G104" s="19" t="s">
        <v>292</v>
      </c>
      <c r="H104" s="25">
        <v>452</v>
      </c>
      <c r="I104" s="24">
        <v>2.1559998989105225</v>
      </c>
      <c r="J104" s="23">
        <v>0</v>
      </c>
      <c r="K104" s="19"/>
      <c r="L104" s="19" t="s">
        <v>394</v>
      </c>
      <c r="M104" s="19" t="s">
        <v>395</v>
      </c>
    </row>
    <row r="105" spans="1:13">
      <c r="A105" s="26" t="s">
        <v>381</v>
      </c>
      <c r="B105" s="26" t="s">
        <v>396</v>
      </c>
      <c r="C105" s="26" t="s">
        <v>292</v>
      </c>
      <c r="D105" s="29">
        <v>452</v>
      </c>
      <c r="E105" s="26" t="s">
        <v>381</v>
      </c>
      <c r="F105" s="26" t="s">
        <v>397</v>
      </c>
      <c r="G105" s="26" t="s">
        <v>17</v>
      </c>
      <c r="H105" s="29">
        <v>455</v>
      </c>
      <c r="I105" s="28">
        <v>3.0420000553131104</v>
      </c>
      <c r="J105" s="27">
        <v>0</v>
      </c>
      <c r="K105" s="26"/>
      <c r="L105" s="26" t="s">
        <v>398</v>
      </c>
      <c r="M105" s="26" t="s">
        <v>399</v>
      </c>
    </row>
    <row r="106" spans="1:13">
      <c r="A106" s="19" t="s">
        <v>381</v>
      </c>
      <c r="B106" s="19" t="s">
        <v>400</v>
      </c>
      <c r="C106" s="19" t="s">
        <v>17</v>
      </c>
      <c r="D106" s="25">
        <v>455</v>
      </c>
      <c r="E106" s="19" t="s">
        <v>381</v>
      </c>
      <c r="F106" s="19" t="s">
        <v>186</v>
      </c>
      <c r="G106" s="19" t="s">
        <v>364</v>
      </c>
      <c r="H106" s="25">
        <v>456</v>
      </c>
      <c r="I106" s="24">
        <v>1.1319999694824219</v>
      </c>
      <c r="J106" s="23">
        <v>0</v>
      </c>
      <c r="K106" s="19"/>
      <c r="L106" s="19" t="s">
        <v>401</v>
      </c>
      <c r="M106" s="19" t="s">
        <v>402</v>
      </c>
    </row>
    <row r="107" spans="1:13">
      <c r="A107" s="26" t="s">
        <v>381</v>
      </c>
      <c r="B107" s="26" t="s">
        <v>403</v>
      </c>
      <c r="C107" s="26" t="s">
        <v>364</v>
      </c>
      <c r="D107" s="29">
        <v>456</v>
      </c>
      <c r="E107" s="26" t="s">
        <v>381</v>
      </c>
      <c r="F107" s="26" t="s">
        <v>404</v>
      </c>
      <c r="G107" s="26" t="s">
        <v>292</v>
      </c>
      <c r="H107" s="29">
        <v>458</v>
      </c>
      <c r="I107" s="28">
        <v>1.9859999418258667</v>
      </c>
      <c r="J107" s="27">
        <v>0</v>
      </c>
      <c r="K107" s="26"/>
      <c r="L107" s="26" t="s">
        <v>405</v>
      </c>
      <c r="M107" s="26" t="s">
        <v>406</v>
      </c>
    </row>
    <row r="108" spans="1:13">
      <c r="A108" s="19" t="s">
        <v>381</v>
      </c>
      <c r="B108" s="19" t="s">
        <v>407</v>
      </c>
      <c r="C108" s="19" t="s">
        <v>292</v>
      </c>
      <c r="D108" s="25">
        <v>458</v>
      </c>
      <c r="E108" s="19" t="s">
        <v>381</v>
      </c>
      <c r="F108" s="19" t="s">
        <v>146</v>
      </c>
      <c r="G108" s="19" t="s">
        <v>17</v>
      </c>
      <c r="H108" s="25">
        <v>460</v>
      </c>
      <c r="I108" s="24">
        <v>2.1210000514984131</v>
      </c>
      <c r="J108" s="23">
        <v>0</v>
      </c>
      <c r="K108" s="19"/>
      <c r="L108" s="19" t="s">
        <v>98</v>
      </c>
      <c r="M108" s="19" t="s">
        <v>408</v>
      </c>
    </row>
    <row r="109" spans="1:13">
      <c r="A109" s="26" t="s">
        <v>409</v>
      </c>
      <c r="B109" s="26" t="s">
        <v>152</v>
      </c>
      <c r="C109" s="26" t="s">
        <v>17</v>
      </c>
      <c r="D109" s="29">
        <v>460</v>
      </c>
      <c r="E109" s="26" t="s">
        <v>409</v>
      </c>
      <c r="F109" s="26" t="s">
        <v>383</v>
      </c>
      <c r="G109" s="26" t="s">
        <v>410</v>
      </c>
      <c r="H109" s="29">
        <v>461</v>
      </c>
      <c r="I109" s="28">
        <v>1.0240000486373901</v>
      </c>
      <c r="J109" s="27">
        <v>0</v>
      </c>
      <c r="K109" s="26"/>
      <c r="L109" s="26" t="s">
        <v>411</v>
      </c>
      <c r="M109" s="26" t="s">
        <v>412</v>
      </c>
    </row>
    <row r="110" spans="1:13">
      <c r="A110" s="19" t="s">
        <v>409</v>
      </c>
      <c r="B110" s="19" t="s">
        <v>192</v>
      </c>
      <c r="C110" s="19" t="s">
        <v>410</v>
      </c>
      <c r="D110" s="25">
        <v>461</v>
      </c>
      <c r="E110" s="19" t="s">
        <v>409</v>
      </c>
      <c r="F110" s="19" t="s">
        <v>268</v>
      </c>
      <c r="G110" s="19" t="s">
        <v>17</v>
      </c>
      <c r="H110" s="25">
        <v>462</v>
      </c>
      <c r="I110" s="24">
        <v>1.1499999761581421</v>
      </c>
      <c r="J110" s="23">
        <v>0</v>
      </c>
      <c r="K110" s="19"/>
      <c r="L110" s="19" t="s">
        <v>413</v>
      </c>
      <c r="M110" s="19" t="s">
        <v>414</v>
      </c>
    </row>
    <row r="111" spans="1:13">
      <c r="A111" s="26" t="s">
        <v>415</v>
      </c>
      <c r="B111" s="26" t="s">
        <v>28</v>
      </c>
      <c r="C111" s="26" t="s">
        <v>17</v>
      </c>
      <c r="D111" s="29">
        <v>462</v>
      </c>
      <c r="E111" s="26" t="s">
        <v>415</v>
      </c>
      <c r="F111" s="26" t="s">
        <v>252</v>
      </c>
      <c r="G111" s="26" t="s">
        <v>50</v>
      </c>
      <c r="H111" s="29">
        <v>471</v>
      </c>
      <c r="I111" s="28">
        <v>9.1040000915527344</v>
      </c>
      <c r="J111" s="27">
        <v>0</v>
      </c>
      <c r="K111" s="26"/>
      <c r="L111" s="26" t="s">
        <v>331</v>
      </c>
      <c r="M111" s="26" t="s">
        <v>124</v>
      </c>
    </row>
    <row r="112" spans="1:13">
      <c r="A112" s="19" t="s">
        <v>415</v>
      </c>
      <c r="B112" s="19" t="s">
        <v>416</v>
      </c>
      <c r="C112" s="19" t="s">
        <v>50</v>
      </c>
      <c r="D112" s="25">
        <v>471</v>
      </c>
      <c r="E112" s="19" t="s">
        <v>415</v>
      </c>
      <c r="F112" s="19" t="s">
        <v>417</v>
      </c>
      <c r="G112" s="19" t="s">
        <v>85</v>
      </c>
      <c r="H112" s="25">
        <v>476</v>
      </c>
      <c r="I112" s="24">
        <v>4.879000186920166</v>
      </c>
      <c r="J112" s="23">
        <v>0</v>
      </c>
      <c r="K112" s="19"/>
      <c r="L112" s="19" t="s">
        <v>418</v>
      </c>
      <c r="M112" s="19" t="s">
        <v>391</v>
      </c>
    </row>
    <row r="113" spans="1:13">
      <c r="A113" s="26" t="s">
        <v>415</v>
      </c>
      <c r="B113" s="26" t="s">
        <v>138</v>
      </c>
      <c r="C113" s="26" t="s">
        <v>419</v>
      </c>
      <c r="D113" s="29">
        <v>476</v>
      </c>
      <c r="E113" s="26" t="s">
        <v>415</v>
      </c>
      <c r="F113" s="26" t="s">
        <v>139</v>
      </c>
      <c r="G113" s="26" t="s">
        <v>420</v>
      </c>
      <c r="H113" s="29">
        <v>481</v>
      </c>
      <c r="I113" s="28">
        <v>4.9419999122619629</v>
      </c>
      <c r="J113" s="27">
        <v>0</v>
      </c>
      <c r="K113" s="26"/>
      <c r="L113" s="26" t="s">
        <v>265</v>
      </c>
      <c r="M113" s="26" t="s">
        <v>421</v>
      </c>
    </row>
    <row r="114" spans="1:13">
      <c r="A114" s="19" t="s">
        <v>415</v>
      </c>
      <c r="B114" s="19" t="s">
        <v>144</v>
      </c>
      <c r="C114" s="19" t="s">
        <v>420</v>
      </c>
      <c r="D114" s="25">
        <v>481</v>
      </c>
      <c r="E114" s="19" t="s">
        <v>415</v>
      </c>
      <c r="F114" s="19" t="s">
        <v>422</v>
      </c>
      <c r="G114" s="19" t="s">
        <v>17</v>
      </c>
      <c r="H114" s="25">
        <v>482</v>
      </c>
      <c r="I114" s="24">
        <v>1.0809999704360962</v>
      </c>
      <c r="J114" s="23">
        <v>0</v>
      </c>
      <c r="K114" s="19"/>
      <c r="L114" s="19" t="s">
        <v>423</v>
      </c>
      <c r="M114" s="19" t="s">
        <v>424</v>
      </c>
    </row>
    <row r="115" spans="1:13">
      <c r="A115" s="26" t="s">
        <v>425</v>
      </c>
      <c r="B115" s="26" t="s">
        <v>426</v>
      </c>
      <c r="C115" s="26" t="s">
        <v>17</v>
      </c>
      <c r="D115" s="29">
        <v>482</v>
      </c>
      <c r="E115" s="26" t="s">
        <v>425</v>
      </c>
      <c r="F115" s="26" t="s">
        <v>427</v>
      </c>
      <c r="G115" s="26" t="s">
        <v>428</v>
      </c>
      <c r="H115" s="29">
        <v>483</v>
      </c>
      <c r="I115" s="28">
        <v>1.0110000371932983</v>
      </c>
      <c r="J115" s="27">
        <v>0</v>
      </c>
      <c r="K115" s="26"/>
      <c r="L115" s="26" t="s">
        <v>202</v>
      </c>
      <c r="M115" s="26" t="s">
        <v>429</v>
      </c>
    </row>
    <row r="116" spans="1:13">
      <c r="A116" s="19" t="s">
        <v>425</v>
      </c>
      <c r="B116" s="19" t="s">
        <v>430</v>
      </c>
      <c r="C116" s="19" t="s">
        <v>428</v>
      </c>
      <c r="D116" s="25">
        <v>483</v>
      </c>
      <c r="E116" s="19" t="s">
        <v>425</v>
      </c>
      <c r="F116" s="19" t="s">
        <v>88</v>
      </c>
      <c r="G116" s="19" t="s">
        <v>17</v>
      </c>
      <c r="H116" s="25">
        <v>485</v>
      </c>
      <c r="I116" s="24">
        <v>1.1970000267028809</v>
      </c>
      <c r="J116" s="23">
        <v>0</v>
      </c>
      <c r="K116" s="19"/>
      <c r="L116" s="19" t="s">
        <v>202</v>
      </c>
      <c r="M116" s="19" t="s">
        <v>431</v>
      </c>
    </row>
    <row r="117" spans="1:13">
      <c r="A117" s="26" t="s">
        <v>432</v>
      </c>
      <c r="B117" s="26" t="s">
        <v>37</v>
      </c>
      <c r="C117" s="26" t="s">
        <v>17</v>
      </c>
      <c r="D117" s="29">
        <v>485</v>
      </c>
      <c r="E117" s="26" t="s">
        <v>432</v>
      </c>
      <c r="F117" s="26" t="s">
        <v>42</v>
      </c>
      <c r="G117" s="26" t="s">
        <v>433</v>
      </c>
      <c r="H117" s="29">
        <v>499</v>
      </c>
      <c r="I117" s="28">
        <v>14.21399974822998</v>
      </c>
      <c r="J117" s="27">
        <v>0</v>
      </c>
      <c r="K117" s="26"/>
      <c r="L117" s="26" t="s">
        <v>434</v>
      </c>
      <c r="M117" s="26" t="s">
        <v>435</v>
      </c>
    </row>
    <row r="118" spans="1:13">
      <c r="A118" s="19" t="s">
        <v>432</v>
      </c>
      <c r="B118" s="19" t="s">
        <v>436</v>
      </c>
      <c r="C118" s="19" t="s">
        <v>433</v>
      </c>
      <c r="D118" s="25">
        <v>499</v>
      </c>
      <c r="E118" s="19" t="s">
        <v>432</v>
      </c>
      <c r="F118" s="19" t="s">
        <v>437</v>
      </c>
      <c r="G118" s="19" t="s">
        <v>438</v>
      </c>
      <c r="H118" s="25">
        <v>500</v>
      </c>
      <c r="I118" s="24">
        <v>1.3969999551773071</v>
      </c>
      <c r="J118" s="23">
        <v>0</v>
      </c>
      <c r="K118" s="19"/>
      <c r="L118" s="19" t="s">
        <v>439</v>
      </c>
      <c r="M118" s="19" t="s">
        <v>440</v>
      </c>
    </row>
    <row r="119" spans="1:13">
      <c r="A119" s="26" t="s">
        <v>432</v>
      </c>
      <c r="B119" s="26" t="s">
        <v>437</v>
      </c>
      <c r="C119" s="26" t="s">
        <v>438</v>
      </c>
      <c r="D119" s="29">
        <v>500</v>
      </c>
      <c r="E119" s="26" t="s">
        <v>432</v>
      </c>
      <c r="F119" s="26" t="s">
        <v>441</v>
      </c>
      <c r="G119" s="26" t="s">
        <v>17</v>
      </c>
      <c r="H119" s="29">
        <v>513</v>
      </c>
      <c r="I119" s="28">
        <v>12.421999931335449</v>
      </c>
      <c r="J119" s="27">
        <v>0</v>
      </c>
      <c r="K119" s="26"/>
      <c r="L119" s="26" t="s">
        <v>442</v>
      </c>
      <c r="M119" s="26" t="s">
        <v>443</v>
      </c>
    </row>
    <row r="120" spans="1:13">
      <c r="A120" s="19" t="s">
        <v>444</v>
      </c>
      <c r="B120" s="19" t="s">
        <v>445</v>
      </c>
      <c r="C120" s="19" t="s">
        <v>17</v>
      </c>
      <c r="D120" s="25">
        <v>513</v>
      </c>
      <c r="E120" s="19" t="s">
        <v>444</v>
      </c>
      <c r="F120" s="19" t="s">
        <v>446</v>
      </c>
      <c r="G120" s="19" t="s">
        <v>240</v>
      </c>
      <c r="H120" s="25">
        <v>518</v>
      </c>
      <c r="I120" s="24">
        <v>5.3280000686645508</v>
      </c>
      <c r="J120" s="23">
        <v>0</v>
      </c>
      <c r="K120" s="19"/>
      <c r="L120" s="19" t="s">
        <v>447</v>
      </c>
      <c r="M120" s="19" t="s">
        <v>448</v>
      </c>
    </row>
    <row r="121" spans="1:13">
      <c r="A121" s="26" t="s">
        <v>444</v>
      </c>
      <c r="B121" s="26" t="s">
        <v>449</v>
      </c>
      <c r="C121" s="26" t="s">
        <v>240</v>
      </c>
      <c r="D121" s="29">
        <v>518</v>
      </c>
      <c r="E121" s="26" t="s">
        <v>444</v>
      </c>
      <c r="F121" s="26" t="s">
        <v>437</v>
      </c>
      <c r="G121" s="26" t="s">
        <v>450</v>
      </c>
      <c r="H121" s="29">
        <v>523</v>
      </c>
      <c r="I121" s="28">
        <v>5.375999927520752</v>
      </c>
      <c r="J121" s="27">
        <v>0</v>
      </c>
      <c r="K121" s="26"/>
      <c r="L121" s="26" t="s">
        <v>451</v>
      </c>
      <c r="M121" s="26" t="s">
        <v>452</v>
      </c>
    </row>
    <row r="122" spans="1:13">
      <c r="A122" s="19" t="s">
        <v>444</v>
      </c>
      <c r="B122" s="19" t="s">
        <v>437</v>
      </c>
      <c r="C122" s="19" t="s">
        <v>450</v>
      </c>
      <c r="D122" s="25">
        <v>523</v>
      </c>
      <c r="E122" s="19" t="s">
        <v>444</v>
      </c>
      <c r="F122" s="19" t="s">
        <v>453</v>
      </c>
      <c r="G122" s="19" t="s">
        <v>17</v>
      </c>
      <c r="H122" s="25">
        <v>524</v>
      </c>
      <c r="I122" s="24">
        <v>0.99400001764297485</v>
      </c>
      <c r="J122" s="23">
        <v>0</v>
      </c>
      <c r="K122" s="19"/>
      <c r="L122" s="19" t="s">
        <v>454</v>
      </c>
      <c r="M122" s="19" t="s">
        <v>455</v>
      </c>
    </row>
    <row r="123" spans="1:13">
      <c r="A123" s="26" t="s">
        <v>444</v>
      </c>
      <c r="B123" s="26" t="s">
        <v>268</v>
      </c>
      <c r="C123" s="26" t="s">
        <v>17</v>
      </c>
      <c r="D123" s="29">
        <v>524</v>
      </c>
      <c r="E123" s="26" t="s">
        <v>444</v>
      </c>
      <c r="F123" s="26" t="s">
        <v>456</v>
      </c>
      <c r="G123" s="26" t="s">
        <v>457</v>
      </c>
      <c r="H123" s="29">
        <v>528</v>
      </c>
      <c r="I123" s="28">
        <v>3.4539999961853027</v>
      </c>
      <c r="J123" s="27">
        <v>0</v>
      </c>
      <c r="K123" s="26"/>
      <c r="L123" s="26" t="s">
        <v>458</v>
      </c>
      <c r="M123" s="26" t="s">
        <v>459</v>
      </c>
    </row>
    <row r="124" spans="1:13">
      <c r="A124" s="19" t="s">
        <v>444</v>
      </c>
      <c r="B124" s="19" t="s">
        <v>79</v>
      </c>
      <c r="C124" s="19" t="s">
        <v>457</v>
      </c>
      <c r="D124" s="25">
        <v>528</v>
      </c>
      <c r="E124" s="19" t="s">
        <v>444</v>
      </c>
      <c r="F124" s="19" t="s">
        <v>264</v>
      </c>
      <c r="G124" s="19" t="s">
        <v>17</v>
      </c>
      <c r="H124" s="25">
        <v>532</v>
      </c>
      <c r="I124" s="24">
        <v>4.0029997825622559</v>
      </c>
      <c r="J124" s="23">
        <v>0</v>
      </c>
      <c r="K124" s="19"/>
      <c r="L124" s="19" t="s">
        <v>460</v>
      </c>
      <c r="M124" s="19" t="s">
        <v>461</v>
      </c>
    </row>
    <row r="125" spans="1:13">
      <c r="A125" s="26" t="s">
        <v>444</v>
      </c>
      <c r="B125" s="26" t="s">
        <v>462</v>
      </c>
      <c r="C125" s="26" t="s">
        <v>17</v>
      </c>
      <c r="D125" s="29">
        <v>532</v>
      </c>
      <c r="E125" s="26" t="s">
        <v>444</v>
      </c>
      <c r="F125" s="26" t="s">
        <v>143</v>
      </c>
      <c r="G125" s="26" t="s">
        <v>463</v>
      </c>
      <c r="H125" s="29">
        <v>546</v>
      </c>
      <c r="I125" s="28">
        <v>14.227999687194824</v>
      </c>
      <c r="J125" s="27">
        <v>0</v>
      </c>
      <c r="K125" s="26"/>
      <c r="L125" s="26" t="s">
        <v>464</v>
      </c>
      <c r="M125" s="26" t="s">
        <v>465</v>
      </c>
    </row>
    <row r="126" spans="1:13">
      <c r="A126" s="19" t="s">
        <v>444</v>
      </c>
      <c r="B126" s="19" t="s">
        <v>466</v>
      </c>
      <c r="C126" s="19" t="s">
        <v>463</v>
      </c>
      <c r="D126" s="25">
        <v>546</v>
      </c>
      <c r="E126" s="19" t="s">
        <v>444</v>
      </c>
      <c r="F126" s="19" t="s">
        <v>467</v>
      </c>
      <c r="G126" s="19" t="s">
        <v>17</v>
      </c>
      <c r="H126" s="25">
        <v>560</v>
      </c>
      <c r="I126" s="24">
        <v>13.612000465393066</v>
      </c>
      <c r="J126" s="23">
        <v>0</v>
      </c>
      <c r="K126" s="19"/>
      <c r="L126" s="19" t="s">
        <v>468</v>
      </c>
      <c r="M126" s="19" t="s">
        <v>469</v>
      </c>
    </row>
    <row r="127" spans="1:13">
      <c r="A127" s="26" t="s">
        <v>470</v>
      </c>
      <c r="B127" s="26" t="s">
        <v>471</v>
      </c>
      <c r="C127" s="26" t="s">
        <v>17</v>
      </c>
      <c r="D127" s="29">
        <v>560</v>
      </c>
      <c r="E127" s="26" t="s">
        <v>470</v>
      </c>
      <c r="F127" s="26" t="s">
        <v>243</v>
      </c>
      <c r="G127" s="26" t="s">
        <v>50</v>
      </c>
      <c r="H127" s="29">
        <v>569</v>
      </c>
      <c r="I127" s="28">
        <v>9.1040000915527344</v>
      </c>
      <c r="J127" s="27">
        <v>0</v>
      </c>
      <c r="K127" s="26"/>
      <c r="L127" s="26" t="s">
        <v>472</v>
      </c>
      <c r="M127" s="26" t="s">
        <v>473</v>
      </c>
    </row>
    <row r="128" spans="1:13">
      <c r="A128" s="19" t="s">
        <v>470</v>
      </c>
      <c r="B128" s="19" t="s">
        <v>474</v>
      </c>
      <c r="C128" s="19" t="s">
        <v>50</v>
      </c>
      <c r="D128" s="25">
        <v>569</v>
      </c>
      <c r="E128" s="19" t="s">
        <v>470</v>
      </c>
      <c r="F128" s="19" t="s">
        <v>475</v>
      </c>
      <c r="G128" s="19" t="s">
        <v>476</v>
      </c>
      <c r="H128" s="25">
        <v>574</v>
      </c>
      <c r="I128" s="24">
        <v>5.2709999084472656</v>
      </c>
      <c r="J128" s="23">
        <v>0</v>
      </c>
      <c r="K128" s="19"/>
      <c r="L128" s="19" t="s">
        <v>477</v>
      </c>
      <c r="M128" s="19" t="s">
        <v>478</v>
      </c>
    </row>
    <row r="129" spans="1:13">
      <c r="A129" s="26" t="s">
        <v>470</v>
      </c>
      <c r="B129" s="26" t="s">
        <v>479</v>
      </c>
      <c r="C129" s="26" t="s">
        <v>476</v>
      </c>
      <c r="D129" s="29">
        <v>574</v>
      </c>
      <c r="E129" s="26" t="s">
        <v>470</v>
      </c>
      <c r="F129" s="26" t="s">
        <v>371</v>
      </c>
      <c r="G129" s="26" t="s">
        <v>29</v>
      </c>
      <c r="H129" s="29">
        <v>578</v>
      </c>
      <c r="I129" s="28">
        <v>4.4580001831054688</v>
      </c>
      <c r="J129" s="27">
        <v>0</v>
      </c>
      <c r="K129" s="26"/>
      <c r="L129" s="26" t="s">
        <v>480</v>
      </c>
      <c r="M129" s="26" t="s">
        <v>481</v>
      </c>
    </row>
    <row r="130" spans="1:13">
      <c r="A130" s="19" t="s">
        <v>470</v>
      </c>
      <c r="B130" s="19" t="s">
        <v>482</v>
      </c>
      <c r="C130" s="19" t="s">
        <v>29</v>
      </c>
      <c r="D130" s="25">
        <v>578</v>
      </c>
      <c r="E130" s="19" t="s">
        <v>470</v>
      </c>
      <c r="F130" s="19" t="s">
        <v>483</v>
      </c>
      <c r="G130" s="19" t="s">
        <v>17</v>
      </c>
      <c r="H130" s="25">
        <v>580</v>
      </c>
      <c r="I130" s="24">
        <v>1.2059999704360962</v>
      </c>
      <c r="J130" s="23">
        <v>0</v>
      </c>
      <c r="K130" s="19"/>
      <c r="L130" s="19" t="s">
        <v>484</v>
      </c>
      <c r="M130" s="19" t="s">
        <v>485</v>
      </c>
    </row>
    <row r="131" spans="1:13">
      <c r="A131" s="26" t="s">
        <v>470</v>
      </c>
      <c r="B131" s="26" t="s">
        <v>97</v>
      </c>
      <c r="C131" s="26" t="s">
        <v>17</v>
      </c>
      <c r="D131" s="29">
        <v>580</v>
      </c>
      <c r="E131" s="26" t="s">
        <v>470</v>
      </c>
      <c r="F131" s="26" t="s">
        <v>130</v>
      </c>
      <c r="G131" s="26" t="s">
        <v>45</v>
      </c>
      <c r="H131" s="29">
        <v>580</v>
      </c>
      <c r="I131" s="28">
        <v>0.33199998736381531</v>
      </c>
      <c r="J131" s="27">
        <v>0</v>
      </c>
      <c r="K131" s="26"/>
      <c r="L131" s="26" t="s">
        <v>486</v>
      </c>
      <c r="M131" s="26" t="s">
        <v>487</v>
      </c>
    </row>
    <row r="132" spans="1:13">
      <c r="A132" s="19" t="s">
        <v>488</v>
      </c>
      <c r="B132" s="19" t="s">
        <v>489</v>
      </c>
      <c r="C132" s="19" t="s">
        <v>45</v>
      </c>
      <c r="D132" s="25">
        <v>580</v>
      </c>
      <c r="E132" s="19" t="s">
        <v>488</v>
      </c>
      <c r="F132" s="19" t="s">
        <v>490</v>
      </c>
      <c r="G132" s="19" t="s">
        <v>491</v>
      </c>
      <c r="H132" s="25">
        <v>581</v>
      </c>
      <c r="I132" s="24">
        <v>1.0210000276565552</v>
      </c>
      <c r="J132" s="23">
        <v>0</v>
      </c>
      <c r="K132" s="19"/>
      <c r="L132" s="19" t="s">
        <v>492</v>
      </c>
      <c r="M132" s="19" t="s">
        <v>493</v>
      </c>
    </row>
    <row r="133" spans="1:13">
      <c r="A133" s="26" t="s">
        <v>488</v>
      </c>
      <c r="B133" s="26" t="s">
        <v>494</v>
      </c>
      <c r="C133" s="26" t="s">
        <v>491</v>
      </c>
      <c r="D133" s="29">
        <v>581</v>
      </c>
      <c r="E133" s="26" t="s">
        <v>488</v>
      </c>
      <c r="F133" s="26" t="s">
        <v>397</v>
      </c>
      <c r="G133" s="26" t="s">
        <v>17</v>
      </c>
      <c r="H133" s="29">
        <v>582</v>
      </c>
      <c r="I133" s="28">
        <v>1.1799999475479126</v>
      </c>
      <c r="J133" s="27">
        <v>0</v>
      </c>
      <c r="K133" s="26"/>
      <c r="L133" s="26" t="s">
        <v>495</v>
      </c>
      <c r="M133" s="26" t="s">
        <v>496</v>
      </c>
    </row>
    <row r="134" spans="1:13">
      <c r="A134" s="19" t="s">
        <v>497</v>
      </c>
      <c r="B134" s="19" t="s">
        <v>389</v>
      </c>
      <c r="C134" s="19" t="s">
        <v>17</v>
      </c>
      <c r="D134" s="25">
        <v>582</v>
      </c>
      <c r="E134" s="19" t="s">
        <v>497</v>
      </c>
      <c r="F134" s="19" t="s">
        <v>312</v>
      </c>
      <c r="G134" s="19" t="s">
        <v>29</v>
      </c>
      <c r="H134" s="25">
        <v>583</v>
      </c>
      <c r="I134" s="24">
        <v>1.1779999732971191</v>
      </c>
      <c r="J134" s="23">
        <v>0</v>
      </c>
      <c r="K134" s="19"/>
      <c r="L134" s="19" t="s">
        <v>498</v>
      </c>
      <c r="M134" s="19" t="s">
        <v>499</v>
      </c>
    </row>
    <row r="135" spans="1:13">
      <c r="A135" s="26" t="s">
        <v>497</v>
      </c>
      <c r="B135" s="26" t="s">
        <v>500</v>
      </c>
      <c r="C135" s="26" t="s">
        <v>29</v>
      </c>
      <c r="D135" s="29">
        <v>583</v>
      </c>
      <c r="E135" s="26" t="s">
        <v>497</v>
      </c>
      <c r="F135" s="26" t="s">
        <v>501</v>
      </c>
      <c r="G135" s="26" t="s">
        <v>17</v>
      </c>
      <c r="H135" s="29">
        <v>585</v>
      </c>
      <c r="I135" s="28">
        <v>1.2519999742507935</v>
      </c>
      <c r="J135" s="27">
        <v>0</v>
      </c>
      <c r="K135" s="26"/>
      <c r="L135" s="26" t="s">
        <v>502</v>
      </c>
      <c r="M135" s="26" t="s">
        <v>503</v>
      </c>
    </row>
    <row r="136" spans="1:13">
      <c r="A136" s="19" t="s">
        <v>504</v>
      </c>
      <c r="B136" s="19" t="s">
        <v>505</v>
      </c>
      <c r="C136" s="19" t="s">
        <v>17</v>
      </c>
      <c r="D136" s="25">
        <v>585</v>
      </c>
      <c r="E136" s="19" t="s">
        <v>504</v>
      </c>
      <c r="F136" s="19" t="s">
        <v>210</v>
      </c>
      <c r="G136" s="19" t="s">
        <v>506</v>
      </c>
      <c r="H136" s="25">
        <v>586</v>
      </c>
      <c r="I136" s="24">
        <v>1.3339999914169312</v>
      </c>
      <c r="J136" s="23">
        <v>0</v>
      </c>
      <c r="K136" s="19"/>
      <c r="L136" s="19" t="s">
        <v>507</v>
      </c>
      <c r="M136" s="19" t="s">
        <v>508</v>
      </c>
    </row>
    <row r="137" spans="1:13">
      <c r="A137" s="26" t="s">
        <v>504</v>
      </c>
      <c r="B137" s="26" t="s">
        <v>509</v>
      </c>
      <c r="C137" s="26" t="s">
        <v>506</v>
      </c>
      <c r="D137" s="29">
        <v>586</v>
      </c>
      <c r="E137" s="26" t="s">
        <v>504</v>
      </c>
      <c r="F137" s="26" t="s">
        <v>510</v>
      </c>
      <c r="G137" s="26" t="s">
        <v>45</v>
      </c>
      <c r="H137" s="29">
        <v>588</v>
      </c>
      <c r="I137" s="28">
        <v>1.5279999971389771</v>
      </c>
      <c r="J137" s="27">
        <v>0</v>
      </c>
      <c r="K137" s="26"/>
      <c r="L137" s="26" t="s">
        <v>511</v>
      </c>
      <c r="M137" s="26" t="s">
        <v>512</v>
      </c>
    </row>
    <row r="138" spans="1:13">
      <c r="A138" s="19" t="s">
        <v>504</v>
      </c>
      <c r="B138" s="19" t="s">
        <v>97</v>
      </c>
      <c r="C138" s="19" t="s">
        <v>45</v>
      </c>
      <c r="D138" s="25">
        <v>588</v>
      </c>
      <c r="E138" s="19" t="s">
        <v>504</v>
      </c>
      <c r="F138" s="19" t="s">
        <v>513</v>
      </c>
      <c r="G138" s="19" t="s">
        <v>364</v>
      </c>
      <c r="H138" s="25">
        <v>589</v>
      </c>
      <c r="I138" s="24">
        <v>1.0839999914169312</v>
      </c>
      <c r="J138" s="23">
        <v>0</v>
      </c>
      <c r="K138" s="19"/>
      <c r="L138" s="19" t="s">
        <v>514</v>
      </c>
      <c r="M138" s="19" t="s">
        <v>515</v>
      </c>
    </row>
    <row r="139" spans="1:13">
      <c r="A139" s="26" t="s">
        <v>504</v>
      </c>
      <c r="B139" s="26" t="s">
        <v>466</v>
      </c>
      <c r="C139" s="26" t="s">
        <v>364</v>
      </c>
      <c r="D139" s="29">
        <v>589</v>
      </c>
      <c r="E139" s="26" t="s">
        <v>504</v>
      </c>
      <c r="F139" s="26" t="s">
        <v>146</v>
      </c>
      <c r="G139" s="26" t="s">
        <v>457</v>
      </c>
      <c r="H139" s="29">
        <v>592</v>
      </c>
      <c r="I139" s="28">
        <v>3.1740000247955322</v>
      </c>
      <c r="J139" s="27">
        <v>0</v>
      </c>
      <c r="K139" s="26"/>
      <c r="L139" s="26" t="s">
        <v>516</v>
      </c>
      <c r="M139" s="26" t="s">
        <v>517</v>
      </c>
    </row>
    <row r="140" spans="1:13">
      <c r="A140" s="19" t="s">
        <v>504</v>
      </c>
      <c r="B140" s="19" t="s">
        <v>422</v>
      </c>
      <c r="C140" s="19" t="s">
        <v>457</v>
      </c>
      <c r="D140" s="25">
        <v>592</v>
      </c>
      <c r="E140" s="19" t="s">
        <v>504</v>
      </c>
      <c r="F140" s="19" t="s">
        <v>518</v>
      </c>
      <c r="G140" s="19" t="s">
        <v>17</v>
      </c>
      <c r="H140" s="25">
        <v>596</v>
      </c>
      <c r="I140" s="24">
        <v>4.0390000343322754</v>
      </c>
      <c r="J140" s="23">
        <v>0</v>
      </c>
      <c r="K140" s="19"/>
      <c r="L140" s="19" t="s">
        <v>519</v>
      </c>
      <c r="M140" s="19"/>
    </row>
    <row r="141" spans="1:13" ht="15">
      <c r="A141" s="19"/>
      <c r="B141" s="19"/>
      <c r="C141" s="19"/>
      <c r="D141" s="19"/>
      <c r="E141" s="19"/>
      <c r="F141" s="19"/>
      <c r="G141" s="68" t="s">
        <v>520</v>
      </c>
      <c r="H141" s="69"/>
      <c r="I141" s="21">
        <v>595.94309724867344</v>
      </c>
      <c r="J141" s="20">
        <v>0</v>
      </c>
      <c r="K141" s="19"/>
      <c r="L141" s="22" t="s">
        <v>521</v>
      </c>
      <c r="M141" s="22" t="s">
        <v>522</v>
      </c>
    </row>
    <row r="142" spans="1:13" ht="15">
      <c r="A142" s="19"/>
      <c r="B142" s="19"/>
      <c r="C142" s="19"/>
      <c r="D142" s="19"/>
      <c r="E142" s="19"/>
      <c r="F142" s="19"/>
      <c r="G142" s="68" t="s">
        <v>523</v>
      </c>
      <c r="H142" s="69"/>
      <c r="I142" s="21">
        <v>595.94309724867344</v>
      </c>
      <c r="J142" s="20">
        <v>0</v>
      </c>
      <c r="K142" s="19"/>
      <c r="L142" s="18" t="s">
        <v>521</v>
      </c>
      <c r="M142" s="18" t="s">
        <v>522</v>
      </c>
    </row>
    <row r="143" spans="1:13" ht="15">
      <c r="A143" s="19"/>
      <c r="B143" s="19"/>
      <c r="C143" s="19"/>
      <c r="D143" s="19"/>
      <c r="E143" s="19"/>
      <c r="F143" s="19"/>
      <c r="G143" s="68" t="s">
        <v>524</v>
      </c>
      <c r="H143" s="69"/>
      <c r="I143" s="21">
        <v>595.94309724867344</v>
      </c>
      <c r="J143" s="20">
        <v>0</v>
      </c>
      <c r="K143" s="19"/>
      <c r="L143" s="18" t="s">
        <v>521</v>
      </c>
      <c r="M143" s="18" t="s">
        <v>522</v>
      </c>
    </row>
  </sheetData>
  <mergeCells count="8">
    <mergeCell ref="G143:H143"/>
    <mergeCell ref="A3:D3"/>
    <mergeCell ref="E3:H3"/>
    <mergeCell ref="I3:M3"/>
    <mergeCell ref="A5:M5"/>
    <mergeCell ref="A6:D6"/>
    <mergeCell ref="G141:H141"/>
    <mergeCell ref="G142:H142"/>
  </mergeCells>
  <pageMargins left="0.39370078740157477" right="0.39370078740157477" top="0.89370078740157466" bottom="0.89370078740157466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2"/>
  <sheetViews>
    <sheetView topLeftCell="A16" workbookViewId="0"/>
  </sheetViews>
  <sheetFormatPr defaultRowHeight="14.25"/>
  <cols>
    <col min="1" max="1" width="10.75" customWidth="1"/>
    <col min="2" max="2" width="8" customWidth="1"/>
    <col min="3" max="3" width="35.375" customWidth="1"/>
    <col min="4" max="6" width="16.125" customWidth="1"/>
    <col min="7" max="7" width="10.75" customWidth="1"/>
    <col min="8" max="8" width="8" customWidth="1"/>
    <col min="9" max="9" width="36.875" customWidth="1"/>
    <col min="10" max="10" width="16.125" customWidth="1"/>
    <col min="11" max="12" width="10.75" customWidth="1"/>
    <col min="13" max="15" width="16.125" customWidth="1"/>
  </cols>
  <sheetData>
    <row r="1" spans="1:15">
      <c r="A1" s="1" t="s">
        <v>5</v>
      </c>
      <c r="B1" s="1" t="s">
        <v>6</v>
      </c>
      <c r="C1" s="1" t="s">
        <v>7</v>
      </c>
      <c r="D1" s="2" t="s">
        <v>8</v>
      </c>
      <c r="E1" s="2" t="s">
        <v>525</v>
      </c>
      <c r="F1" s="2" t="s">
        <v>526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2" t="s">
        <v>10</v>
      </c>
      <c r="M1" s="3"/>
      <c r="N1" s="1" t="s">
        <v>11</v>
      </c>
      <c r="O1" s="1" t="s">
        <v>12</v>
      </c>
    </row>
    <row r="2" spans="1:15">
      <c r="A2" s="6" t="s">
        <v>527</v>
      </c>
      <c r="B2" s="6" t="s">
        <v>89</v>
      </c>
      <c r="C2" s="6" t="s">
        <v>17</v>
      </c>
      <c r="D2" s="7">
        <v>596</v>
      </c>
      <c r="E2" s="7" t="s">
        <v>528</v>
      </c>
      <c r="F2" s="7" t="s">
        <v>529</v>
      </c>
      <c r="G2" s="6" t="s">
        <v>527</v>
      </c>
      <c r="H2" s="6" t="s">
        <v>530</v>
      </c>
      <c r="I2" s="6" t="s">
        <v>247</v>
      </c>
      <c r="J2" s="7">
        <v>600</v>
      </c>
      <c r="K2" s="8">
        <v>4.0069999694824219</v>
      </c>
      <c r="L2" s="9">
        <v>0</v>
      </c>
      <c r="M2" s="6"/>
      <c r="N2" s="6" t="s">
        <v>360</v>
      </c>
      <c r="O2" s="6" t="s">
        <v>531</v>
      </c>
    </row>
    <row r="3" spans="1:15">
      <c r="A3" s="5" t="s">
        <v>527</v>
      </c>
      <c r="B3" s="5" t="s">
        <v>532</v>
      </c>
      <c r="C3" s="5" t="s">
        <v>247</v>
      </c>
      <c r="D3" s="10">
        <v>600</v>
      </c>
      <c r="E3" s="35" t="s">
        <v>528</v>
      </c>
      <c r="F3" s="35" t="s">
        <v>529</v>
      </c>
      <c r="G3" s="5" t="s">
        <v>527</v>
      </c>
      <c r="H3" s="5" t="s">
        <v>533</v>
      </c>
      <c r="I3" s="5" t="s">
        <v>534</v>
      </c>
      <c r="J3" s="10">
        <v>605</v>
      </c>
      <c r="K3" s="11">
        <v>4.7239999771118164</v>
      </c>
      <c r="L3" s="12">
        <v>0</v>
      </c>
      <c r="M3" s="5"/>
      <c r="N3" s="5" t="s">
        <v>535</v>
      </c>
      <c r="O3" s="5" t="s">
        <v>536</v>
      </c>
    </row>
    <row r="4" spans="1:15">
      <c r="A4" s="6" t="s">
        <v>527</v>
      </c>
      <c r="B4" s="6" t="s">
        <v>537</v>
      </c>
      <c r="C4" s="6" t="s">
        <v>534</v>
      </c>
      <c r="D4" s="7">
        <v>605</v>
      </c>
      <c r="E4" s="7" t="s">
        <v>528</v>
      </c>
      <c r="F4" s="7" t="s">
        <v>529</v>
      </c>
      <c r="G4" s="6" t="s">
        <v>527</v>
      </c>
      <c r="H4" s="6" t="s">
        <v>538</v>
      </c>
      <c r="I4" s="6" t="s">
        <v>280</v>
      </c>
      <c r="J4" s="7">
        <v>606</v>
      </c>
      <c r="K4" s="8">
        <v>1.1740000247955322</v>
      </c>
      <c r="L4" s="9">
        <v>0</v>
      </c>
      <c r="M4" s="6"/>
      <c r="N4" s="6" t="s">
        <v>539</v>
      </c>
      <c r="O4" s="6" t="s">
        <v>540</v>
      </c>
    </row>
    <row r="5" spans="1:15">
      <c r="A5" s="5" t="s">
        <v>527</v>
      </c>
      <c r="B5" s="5" t="s">
        <v>541</v>
      </c>
      <c r="C5" s="5" t="s">
        <v>280</v>
      </c>
      <c r="D5" s="10">
        <v>606</v>
      </c>
      <c r="E5" s="35" t="s">
        <v>528</v>
      </c>
      <c r="F5" s="35" t="s">
        <v>529</v>
      </c>
      <c r="G5" s="5" t="s">
        <v>527</v>
      </c>
      <c r="H5" s="5" t="s">
        <v>542</v>
      </c>
      <c r="I5" s="5" t="s">
        <v>17</v>
      </c>
      <c r="J5" s="10">
        <v>611</v>
      </c>
      <c r="K5" s="11">
        <v>5.1079998016357422</v>
      </c>
      <c r="L5" s="12">
        <v>0</v>
      </c>
      <c r="M5" s="5"/>
      <c r="N5" s="5" t="s">
        <v>543</v>
      </c>
      <c r="O5" s="5" t="s">
        <v>544</v>
      </c>
    </row>
    <row r="6" spans="1:15">
      <c r="A6" s="6" t="s">
        <v>545</v>
      </c>
      <c r="B6" s="6" t="s">
        <v>546</v>
      </c>
      <c r="C6" s="6" t="s">
        <v>17</v>
      </c>
      <c r="D6" s="7">
        <v>611</v>
      </c>
      <c r="E6" s="7" t="s">
        <v>528</v>
      </c>
      <c r="F6" s="7" t="s">
        <v>529</v>
      </c>
      <c r="G6" s="6" t="s">
        <v>545</v>
      </c>
      <c r="H6" s="6" t="s">
        <v>547</v>
      </c>
      <c r="I6" s="6" t="s">
        <v>548</v>
      </c>
      <c r="J6" s="7">
        <v>617</v>
      </c>
      <c r="K6" s="8">
        <v>5.8689999580383301</v>
      </c>
      <c r="L6" s="9">
        <v>0</v>
      </c>
      <c r="M6" s="6"/>
      <c r="N6" s="6" t="s">
        <v>549</v>
      </c>
      <c r="O6" s="6" t="s">
        <v>550</v>
      </c>
    </row>
    <row r="7" spans="1:15">
      <c r="A7" s="5" t="s">
        <v>545</v>
      </c>
      <c r="B7" s="5" t="s">
        <v>92</v>
      </c>
      <c r="C7" s="5" t="s">
        <v>548</v>
      </c>
      <c r="D7" s="10">
        <v>617</v>
      </c>
      <c r="E7" s="35" t="s">
        <v>528</v>
      </c>
      <c r="F7" s="35" t="s">
        <v>529</v>
      </c>
      <c r="G7" s="5" t="s">
        <v>545</v>
      </c>
      <c r="H7" s="5" t="s">
        <v>159</v>
      </c>
      <c r="I7" s="5" t="s">
        <v>419</v>
      </c>
      <c r="J7" s="10">
        <v>617</v>
      </c>
      <c r="K7" s="11">
        <v>0.62000000476837158</v>
      </c>
      <c r="L7" s="12">
        <v>0</v>
      </c>
      <c r="M7" s="5"/>
      <c r="N7" s="5" t="s">
        <v>551</v>
      </c>
      <c r="O7" s="5" t="s">
        <v>552</v>
      </c>
    </row>
    <row r="8" spans="1:15">
      <c r="A8" s="6" t="s">
        <v>545</v>
      </c>
      <c r="B8" s="6" t="s">
        <v>188</v>
      </c>
      <c r="C8" s="6" t="s">
        <v>419</v>
      </c>
      <c r="D8" s="7">
        <v>617</v>
      </c>
      <c r="E8" s="7" t="s">
        <v>528</v>
      </c>
      <c r="F8" s="7" t="s">
        <v>529</v>
      </c>
      <c r="G8" s="6" t="s">
        <v>545</v>
      </c>
      <c r="H8" s="6" t="s">
        <v>350</v>
      </c>
      <c r="I8" s="6" t="s">
        <v>17</v>
      </c>
      <c r="J8" s="7">
        <v>623</v>
      </c>
      <c r="K8" s="8">
        <v>5.4270000457763672</v>
      </c>
      <c r="L8" s="9">
        <v>0</v>
      </c>
      <c r="M8" s="6"/>
      <c r="N8" s="6" t="s">
        <v>553</v>
      </c>
      <c r="O8" s="6" t="s">
        <v>554</v>
      </c>
    </row>
    <row r="9" spans="1:15">
      <c r="A9" s="5" t="s">
        <v>545</v>
      </c>
      <c r="B9" s="5" t="s">
        <v>555</v>
      </c>
      <c r="C9" s="5" t="s">
        <v>17</v>
      </c>
      <c r="D9" s="10">
        <v>623</v>
      </c>
      <c r="E9" s="35" t="s">
        <v>528</v>
      </c>
      <c r="F9" s="35" t="s">
        <v>529</v>
      </c>
      <c r="G9" s="5" t="s">
        <v>545</v>
      </c>
      <c r="H9" s="5" t="s">
        <v>556</v>
      </c>
      <c r="I9" s="5" t="s">
        <v>557</v>
      </c>
      <c r="J9" s="10">
        <v>627</v>
      </c>
      <c r="K9" s="11">
        <v>4.6680002212524414</v>
      </c>
      <c r="L9" s="12">
        <v>0</v>
      </c>
      <c r="M9" s="5"/>
      <c r="N9" s="5" t="s">
        <v>558</v>
      </c>
      <c r="O9" s="5" t="s">
        <v>559</v>
      </c>
    </row>
    <row r="10" spans="1:15">
      <c r="A10" s="6" t="s">
        <v>545</v>
      </c>
      <c r="B10" s="6" t="s">
        <v>560</v>
      </c>
      <c r="C10" s="6" t="s">
        <v>557</v>
      </c>
      <c r="D10" s="7">
        <v>627</v>
      </c>
      <c r="E10" s="7" t="s">
        <v>528</v>
      </c>
      <c r="F10" s="7" t="s">
        <v>529</v>
      </c>
      <c r="G10" s="6" t="s">
        <v>545</v>
      </c>
      <c r="H10" s="6" t="s">
        <v>561</v>
      </c>
      <c r="I10" s="6" t="s">
        <v>548</v>
      </c>
      <c r="J10" s="7">
        <v>629</v>
      </c>
      <c r="K10" s="8">
        <v>1.5010000467300415</v>
      </c>
      <c r="L10" s="9">
        <v>0</v>
      </c>
      <c r="M10" s="6"/>
      <c r="N10" s="6" t="s">
        <v>77</v>
      </c>
      <c r="O10" s="6" t="s">
        <v>562</v>
      </c>
    </row>
    <row r="11" spans="1:15">
      <c r="A11" s="5" t="s">
        <v>545</v>
      </c>
      <c r="B11" s="5" t="s">
        <v>563</v>
      </c>
      <c r="C11" s="5" t="s">
        <v>548</v>
      </c>
      <c r="D11" s="10">
        <v>629</v>
      </c>
      <c r="E11" s="35" t="s">
        <v>528</v>
      </c>
      <c r="F11" s="35" t="s">
        <v>529</v>
      </c>
      <c r="G11" s="5" t="s">
        <v>545</v>
      </c>
      <c r="H11" s="5" t="s">
        <v>564</v>
      </c>
      <c r="I11" s="5" t="s">
        <v>17</v>
      </c>
      <c r="J11" s="10">
        <v>634</v>
      </c>
      <c r="K11" s="11">
        <v>5.5630002021789551</v>
      </c>
      <c r="L11" s="12">
        <v>0</v>
      </c>
      <c r="M11" s="5"/>
      <c r="N11" s="5" t="s">
        <v>565</v>
      </c>
      <c r="O11" s="5" t="s">
        <v>566</v>
      </c>
    </row>
    <row r="12" spans="1:15">
      <c r="A12" s="6" t="s">
        <v>567</v>
      </c>
      <c r="B12" s="6" t="s">
        <v>568</v>
      </c>
      <c r="C12" s="6" t="s">
        <v>17</v>
      </c>
      <c r="D12" s="7">
        <v>634</v>
      </c>
      <c r="E12" s="7" t="s">
        <v>528</v>
      </c>
      <c r="F12" s="7" t="s">
        <v>529</v>
      </c>
      <c r="G12" s="6" t="s">
        <v>567</v>
      </c>
      <c r="H12" s="6" t="s">
        <v>311</v>
      </c>
      <c r="I12" s="6" t="s">
        <v>29</v>
      </c>
      <c r="J12" s="7">
        <v>636</v>
      </c>
      <c r="K12" s="8">
        <v>1.309999942779541</v>
      </c>
      <c r="L12" s="9">
        <v>0</v>
      </c>
      <c r="M12" s="6"/>
      <c r="N12" s="6" t="s">
        <v>569</v>
      </c>
      <c r="O12" s="6" t="s">
        <v>570</v>
      </c>
    </row>
    <row r="13" spans="1:15">
      <c r="A13" s="5" t="s">
        <v>567</v>
      </c>
      <c r="B13" s="5" t="s">
        <v>393</v>
      </c>
      <c r="C13" s="5" t="s">
        <v>29</v>
      </c>
      <c r="D13" s="10">
        <v>636</v>
      </c>
      <c r="E13" s="35" t="s">
        <v>528</v>
      </c>
      <c r="F13" s="35" t="s">
        <v>529</v>
      </c>
      <c r="G13" s="5" t="s">
        <v>567</v>
      </c>
      <c r="H13" s="5" t="s">
        <v>427</v>
      </c>
      <c r="I13" s="5" t="s">
        <v>240</v>
      </c>
      <c r="J13" s="10">
        <v>639</v>
      </c>
      <c r="K13" s="11">
        <v>3.4489998817443848</v>
      </c>
      <c r="L13" s="12">
        <v>0</v>
      </c>
      <c r="M13" s="5"/>
      <c r="N13" s="5" t="s">
        <v>571</v>
      </c>
      <c r="O13" s="5" t="s">
        <v>572</v>
      </c>
    </row>
    <row r="14" spans="1:15">
      <c r="A14" s="6" t="s">
        <v>567</v>
      </c>
      <c r="B14" s="6" t="s">
        <v>573</v>
      </c>
      <c r="C14" s="6" t="s">
        <v>240</v>
      </c>
      <c r="D14" s="7">
        <v>639</v>
      </c>
      <c r="E14" s="7" t="s">
        <v>528</v>
      </c>
      <c r="F14" s="7" t="s">
        <v>529</v>
      </c>
      <c r="G14" s="6" t="s">
        <v>567</v>
      </c>
      <c r="H14" s="6" t="s">
        <v>501</v>
      </c>
      <c r="I14" s="6" t="s">
        <v>280</v>
      </c>
      <c r="J14" s="7">
        <v>645</v>
      </c>
      <c r="K14" s="8">
        <v>6.0869998931884766</v>
      </c>
      <c r="L14" s="9">
        <v>0</v>
      </c>
      <c r="M14" s="6"/>
      <c r="N14" s="6" t="s">
        <v>574</v>
      </c>
      <c r="O14" s="6" t="s">
        <v>575</v>
      </c>
    </row>
    <row r="15" spans="1:15">
      <c r="A15" s="5" t="s">
        <v>567</v>
      </c>
      <c r="B15" s="5" t="s">
        <v>546</v>
      </c>
      <c r="C15" s="5" t="s">
        <v>280</v>
      </c>
      <c r="D15" s="10">
        <v>645</v>
      </c>
      <c r="E15" s="35" t="s">
        <v>528</v>
      </c>
      <c r="F15" s="35" t="s">
        <v>529</v>
      </c>
      <c r="G15" s="5" t="s">
        <v>567</v>
      </c>
      <c r="H15" s="5" t="s">
        <v>547</v>
      </c>
      <c r="I15" s="5" t="s">
        <v>17</v>
      </c>
      <c r="J15" s="10">
        <v>651</v>
      </c>
      <c r="K15" s="11">
        <v>5.8769998550415039</v>
      </c>
      <c r="L15" s="12">
        <v>0</v>
      </c>
      <c r="M15" s="5"/>
      <c r="N15" s="5" t="s">
        <v>172</v>
      </c>
      <c r="O15" s="5" t="s">
        <v>576</v>
      </c>
    </row>
    <row r="16" spans="1:15">
      <c r="A16" s="6" t="s">
        <v>567</v>
      </c>
      <c r="B16" s="6" t="s">
        <v>250</v>
      </c>
      <c r="C16" s="6" t="s">
        <v>17</v>
      </c>
      <c r="D16" s="7">
        <v>651</v>
      </c>
      <c r="E16" s="7" t="s">
        <v>528</v>
      </c>
      <c r="F16" s="7" t="s">
        <v>529</v>
      </c>
      <c r="G16" s="6" t="s">
        <v>567</v>
      </c>
      <c r="H16" s="6" t="s">
        <v>577</v>
      </c>
      <c r="I16" s="6" t="s">
        <v>578</v>
      </c>
      <c r="J16" s="7">
        <v>656</v>
      </c>
      <c r="K16" s="8">
        <v>4.5469999313354492</v>
      </c>
      <c r="L16" s="9">
        <v>0</v>
      </c>
      <c r="M16" s="6"/>
      <c r="N16" s="6" t="s">
        <v>128</v>
      </c>
      <c r="O16" s="6" t="s">
        <v>579</v>
      </c>
    </row>
    <row r="17" spans="1:15">
      <c r="A17" s="5" t="s">
        <v>567</v>
      </c>
      <c r="B17" s="5" t="s">
        <v>538</v>
      </c>
      <c r="C17" s="5" t="s">
        <v>578</v>
      </c>
      <c r="D17" s="10">
        <v>656</v>
      </c>
      <c r="E17" s="35" t="s">
        <v>528</v>
      </c>
      <c r="F17" s="35" t="s">
        <v>529</v>
      </c>
      <c r="G17" s="5" t="s">
        <v>567</v>
      </c>
      <c r="H17" s="5" t="s">
        <v>580</v>
      </c>
      <c r="I17" s="5" t="s">
        <v>548</v>
      </c>
      <c r="J17" s="10">
        <v>661</v>
      </c>
      <c r="K17" s="11">
        <v>5.3429999351501465</v>
      </c>
      <c r="L17" s="12">
        <v>0</v>
      </c>
      <c r="M17" s="5"/>
      <c r="N17" s="5" t="s">
        <v>581</v>
      </c>
      <c r="O17" s="5" t="s">
        <v>582</v>
      </c>
    </row>
    <row r="18" spans="1:15">
      <c r="A18" s="6" t="s">
        <v>567</v>
      </c>
      <c r="B18" s="6" t="s">
        <v>417</v>
      </c>
      <c r="C18" s="6" t="s">
        <v>548</v>
      </c>
      <c r="D18" s="7">
        <v>661</v>
      </c>
      <c r="E18" s="7" t="s">
        <v>528</v>
      </c>
      <c r="F18" s="7" t="s">
        <v>529</v>
      </c>
      <c r="G18" s="6" t="s">
        <v>567</v>
      </c>
      <c r="H18" s="6" t="s">
        <v>542</v>
      </c>
      <c r="I18" s="6" t="s">
        <v>17</v>
      </c>
      <c r="J18" s="7">
        <v>667</v>
      </c>
      <c r="K18" s="8">
        <v>5.4920001029968262</v>
      </c>
      <c r="L18" s="9">
        <v>0</v>
      </c>
      <c r="M18" s="6"/>
      <c r="N18" s="6" t="s">
        <v>583</v>
      </c>
      <c r="O18" s="6" t="s">
        <v>584</v>
      </c>
    </row>
    <row r="19" spans="1:15">
      <c r="A19" s="5" t="s">
        <v>567</v>
      </c>
      <c r="B19" s="5" t="s">
        <v>585</v>
      </c>
      <c r="C19" s="5" t="s">
        <v>17</v>
      </c>
      <c r="D19" s="10">
        <v>667</v>
      </c>
      <c r="E19" s="35" t="s">
        <v>528</v>
      </c>
      <c r="F19" s="35" t="s">
        <v>529</v>
      </c>
      <c r="G19" s="5" t="s">
        <v>567</v>
      </c>
      <c r="H19" s="5" t="s">
        <v>586</v>
      </c>
      <c r="I19" s="5" t="s">
        <v>85</v>
      </c>
      <c r="J19" s="10">
        <v>673</v>
      </c>
      <c r="K19" s="11">
        <v>6.6609997749328613</v>
      </c>
      <c r="L19" s="12">
        <v>0</v>
      </c>
      <c r="M19" s="5"/>
      <c r="N19" s="5" t="s">
        <v>587</v>
      </c>
      <c r="O19" s="5" t="s">
        <v>588</v>
      </c>
    </row>
    <row r="20" spans="1:15">
      <c r="A20" s="6" t="s">
        <v>567</v>
      </c>
      <c r="B20" s="6" t="s">
        <v>589</v>
      </c>
      <c r="C20" s="6" t="s">
        <v>85</v>
      </c>
      <c r="D20" s="7">
        <v>673</v>
      </c>
      <c r="E20" s="7" t="s">
        <v>528</v>
      </c>
      <c r="F20" s="7" t="s">
        <v>529</v>
      </c>
      <c r="G20" s="6" t="s">
        <v>567</v>
      </c>
      <c r="H20" s="6" t="s">
        <v>590</v>
      </c>
      <c r="I20" s="6" t="s">
        <v>17</v>
      </c>
      <c r="J20" s="7">
        <v>678</v>
      </c>
      <c r="K20" s="8">
        <v>5.2360000610351563</v>
      </c>
      <c r="L20" s="9">
        <v>0</v>
      </c>
      <c r="M20" s="6"/>
      <c r="N20" s="6" t="s">
        <v>591</v>
      </c>
      <c r="O20" s="6" t="s">
        <v>592</v>
      </c>
    </row>
    <row r="21" spans="1:15">
      <c r="A21" s="5" t="s">
        <v>567</v>
      </c>
      <c r="B21" s="5" t="s">
        <v>593</v>
      </c>
      <c r="C21" s="5" t="s">
        <v>17</v>
      </c>
      <c r="D21" s="10">
        <v>678</v>
      </c>
      <c r="E21" s="35" t="s">
        <v>528</v>
      </c>
      <c r="F21" s="35" t="s">
        <v>529</v>
      </c>
      <c r="G21" s="5" t="s">
        <v>567</v>
      </c>
      <c r="H21" s="5" t="s">
        <v>594</v>
      </c>
      <c r="I21" s="5" t="s">
        <v>253</v>
      </c>
      <c r="J21" s="10">
        <v>683</v>
      </c>
      <c r="K21" s="11">
        <v>4.8420000076293945</v>
      </c>
      <c r="L21" s="12">
        <v>0</v>
      </c>
      <c r="M21" s="5"/>
      <c r="N21" s="5" t="s">
        <v>575</v>
      </c>
      <c r="O21" s="5" t="s">
        <v>595</v>
      </c>
    </row>
    <row r="22" spans="1:15">
      <c r="A22" s="6" t="s">
        <v>567</v>
      </c>
      <c r="B22" s="6" t="s">
        <v>596</v>
      </c>
      <c r="C22" s="6" t="s">
        <v>253</v>
      </c>
      <c r="D22" s="7">
        <v>683</v>
      </c>
      <c r="E22" s="7" t="s">
        <v>528</v>
      </c>
      <c r="F22" s="7" t="s">
        <v>529</v>
      </c>
      <c r="G22" s="6" t="s">
        <v>567</v>
      </c>
      <c r="H22" s="6" t="s">
        <v>564</v>
      </c>
      <c r="I22" s="6" t="s">
        <v>17</v>
      </c>
      <c r="J22" s="7">
        <v>688</v>
      </c>
      <c r="K22" s="8">
        <v>4.369999885559082</v>
      </c>
      <c r="L22" s="9">
        <v>0</v>
      </c>
      <c r="M22" s="6"/>
      <c r="N22" s="6" t="s">
        <v>597</v>
      </c>
      <c r="O22" s="6" t="s">
        <v>598</v>
      </c>
    </row>
    <row r="23" spans="1:15">
      <c r="A23" s="5" t="s">
        <v>599</v>
      </c>
      <c r="B23" s="5" t="s">
        <v>600</v>
      </c>
      <c r="C23" s="5" t="s">
        <v>17</v>
      </c>
      <c r="D23" s="10">
        <v>688</v>
      </c>
      <c r="E23" s="35" t="s">
        <v>528</v>
      </c>
      <c r="F23" s="35" t="s">
        <v>529</v>
      </c>
      <c r="G23" s="5" t="s">
        <v>599</v>
      </c>
      <c r="H23" s="5" t="s">
        <v>601</v>
      </c>
      <c r="I23" s="5" t="s">
        <v>463</v>
      </c>
      <c r="J23" s="10">
        <v>702</v>
      </c>
      <c r="K23" s="11">
        <v>14.376999855041504</v>
      </c>
      <c r="L23" s="12">
        <v>0</v>
      </c>
      <c r="M23" s="5"/>
      <c r="N23" s="5" t="s">
        <v>602</v>
      </c>
      <c r="O23" s="5" t="s">
        <v>603</v>
      </c>
    </row>
    <row r="24" spans="1:15">
      <c r="A24" s="6" t="s">
        <v>599</v>
      </c>
      <c r="B24" s="6" t="s">
        <v>271</v>
      </c>
      <c r="C24" s="6" t="s">
        <v>463</v>
      </c>
      <c r="D24" s="7">
        <v>702</v>
      </c>
      <c r="E24" s="7" t="s">
        <v>528</v>
      </c>
      <c r="F24" s="7" t="s">
        <v>529</v>
      </c>
      <c r="G24" s="6" t="s">
        <v>599</v>
      </c>
      <c r="H24" s="6" t="s">
        <v>126</v>
      </c>
      <c r="I24" s="6" t="s">
        <v>45</v>
      </c>
      <c r="J24" s="7">
        <v>716</v>
      </c>
      <c r="K24" s="8">
        <v>13.541999816894531</v>
      </c>
      <c r="L24" s="9">
        <v>0</v>
      </c>
      <c r="M24" s="6"/>
      <c r="N24" s="6" t="s">
        <v>604</v>
      </c>
      <c r="O24" s="6" t="s">
        <v>605</v>
      </c>
    </row>
    <row r="25" spans="1:15">
      <c r="A25" s="5" t="s">
        <v>599</v>
      </c>
      <c r="B25" s="5" t="s">
        <v>541</v>
      </c>
      <c r="C25" s="5" t="s">
        <v>45</v>
      </c>
      <c r="D25" s="10">
        <v>716</v>
      </c>
      <c r="E25" s="35" t="s">
        <v>528</v>
      </c>
      <c r="F25" s="35" t="s">
        <v>529</v>
      </c>
      <c r="G25" s="5" t="s">
        <v>599</v>
      </c>
      <c r="H25" s="5" t="s">
        <v>589</v>
      </c>
      <c r="I25" s="5" t="s">
        <v>17</v>
      </c>
      <c r="J25" s="10">
        <v>727</v>
      </c>
      <c r="K25" s="11">
        <v>11.187999725341797</v>
      </c>
      <c r="L25" s="12">
        <v>0</v>
      </c>
      <c r="M25" s="5"/>
      <c r="N25" s="5" t="s">
        <v>606</v>
      </c>
      <c r="O25" s="5" t="s">
        <v>607</v>
      </c>
    </row>
    <row r="26" spans="1:15">
      <c r="A26" s="6" t="s">
        <v>599</v>
      </c>
      <c r="B26" s="6" t="s">
        <v>590</v>
      </c>
      <c r="C26" s="6" t="s">
        <v>17</v>
      </c>
      <c r="D26" s="7">
        <v>727</v>
      </c>
      <c r="E26" s="7" t="s">
        <v>528</v>
      </c>
      <c r="F26" s="7" t="s">
        <v>529</v>
      </c>
      <c r="G26" s="6" t="s">
        <v>599</v>
      </c>
      <c r="H26" s="6" t="s">
        <v>561</v>
      </c>
      <c r="I26" s="6" t="s">
        <v>390</v>
      </c>
      <c r="J26" s="7">
        <v>729</v>
      </c>
      <c r="K26" s="8">
        <v>2.562000036239624</v>
      </c>
      <c r="L26" s="9">
        <v>0</v>
      </c>
      <c r="M26" s="6"/>
      <c r="N26" s="6" t="s">
        <v>608</v>
      </c>
      <c r="O26" s="6" t="s">
        <v>609</v>
      </c>
    </row>
    <row r="27" spans="1:15">
      <c r="A27" s="5" t="s">
        <v>599</v>
      </c>
      <c r="B27" s="5" t="s">
        <v>610</v>
      </c>
      <c r="C27" s="5" t="s">
        <v>611</v>
      </c>
      <c r="D27" s="10">
        <v>729</v>
      </c>
      <c r="E27" s="35" t="s">
        <v>528</v>
      </c>
      <c r="F27" s="35" t="s">
        <v>529</v>
      </c>
      <c r="G27" s="5" t="s">
        <v>599</v>
      </c>
      <c r="H27" s="5" t="s">
        <v>301</v>
      </c>
      <c r="I27" s="5" t="s">
        <v>17</v>
      </c>
      <c r="J27" s="10">
        <v>732</v>
      </c>
      <c r="K27" s="11">
        <v>2.4030001163482666</v>
      </c>
      <c r="L27" s="12">
        <v>0</v>
      </c>
      <c r="M27" s="5"/>
      <c r="N27" s="5" t="s">
        <v>612</v>
      </c>
      <c r="O27" s="5" t="s">
        <v>613</v>
      </c>
    </row>
    <row r="28" spans="1:15">
      <c r="A28" s="6" t="s">
        <v>599</v>
      </c>
      <c r="B28" s="6" t="s">
        <v>614</v>
      </c>
      <c r="C28" s="6" t="s">
        <v>17</v>
      </c>
      <c r="D28" s="7">
        <v>732</v>
      </c>
      <c r="E28" s="7" t="s">
        <v>528</v>
      </c>
      <c r="F28" s="7" t="s">
        <v>529</v>
      </c>
      <c r="G28" s="6" t="s">
        <v>599</v>
      </c>
      <c r="H28" s="6" t="s">
        <v>615</v>
      </c>
      <c r="I28" s="6" t="s">
        <v>29</v>
      </c>
      <c r="J28" s="7">
        <v>733</v>
      </c>
      <c r="K28" s="8">
        <v>1.1579999923706055</v>
      </c>
      <c r="L28" s="9">
        <v>0</v>
      </c>
      <c r="M28" s="6"/>
      <c r="N28" s="6" t="s">
        <v>175</v>
      </c>
      <c r="O28" s="6" t="s">
        <v>616</v>
      </c>
    </row>
    <row r="29" spans="1:15">
      <c r="A29" s="5" t="s">
        <v>599</v>
      </c>
      <c r="B29" s="5" t="s">
        <v>617</v>
      </c>
      <c r="C29" s="5" t="s">
        <v>491</v>
      </c>
      <c r="D29" s="10">
        <v>733</v>
      </c>
      <c r="E29" s="35" t="s">
        <v>528</v>
      </c>
      <c r="F29" s="35" t="s">
        <v>529</v>
      </c>
      <c r="G29" s="5" t="s">
        <v>599</v>
      </c>
      <c r="H29" s="5" t="s">
        <v>618</v>
      </c>
      <c r="I29" s="5" t="s">
        <v>73</v>
      </c>
      <c r="J29" s="10">
        <v>735</v>
      </c>
      <c r="K29" s="11">
        <v>1.9249999523162842</v>
      </c>
      <c r="L29" s="12">
        <v>0</v>
      </c>
      <c r="M29" s="5"/>
      <c r="N29" s="5" t="s">
        <v>187</v>
      </c>
      <c r="O29" s="5" t="s">
        <v>619</v>
      </c>
    </row>
    <row r="30" spans="1:15">
      <c r="A30" s="6" t="s">
        <v>599</v>
      </c>
      <c r="B30" s="6" t="s">
        <v>620</v>
      </c>
      <c r="C30" s="6" t="s">
        <v>73</v>
      </c>
      <c r="D30" s="7">
        <v>735</v>
      </c>
      <c r="E30" s="7" t="s">
        <v>528</v>
      </c>
      <c r="F30" s="7" t="s">
        <v>529</v>
      </c>
      <c r="G30" s="6" t="s">
        <v>599</v>
      </c>
      <c r="H30" s="6" t="s">
        <v>621</v>
      </c>
      <c r="I30" s="6" t="s">
        <v>17</v>
      </c>
      <c r="J30" s="7">
        <v>738</v>
      </c>
      <c r="K30" s="8">
        <v>2.6770000457763672</v>
      </c>
      <c r="L30" s="9">
        <v>0</v>
      </c>
      <c r="M30" s="6"/>
      <c r="N30" s="6" t="s">
        <v>622</v>
      </c>
      <c r="O30" s="6" t="s">
        <v>623</v>
      </c>
    </row>
    <row r="31" spans="1:15">
      <c r="A31" s="5" t="s">
        <v>624</v>
      </c>
      <c r="B31" s="5" t="s">
        <v>382</v>
      </c>
      <c r="C31" s="5" t="s">
        <v>17</v>
      </c>
      <c r="D31" s="10">
        <v>738</v>
      </c>
      <c r="E31" s="35" t="s">
        <v>528</v>
      </c>
      <c r="F31" s="35" t="s">
        <v>529</v>
      </c>
      <c r="G31" s="5" t="s">
        <v>624</v>
      </c>
      <c r="H31" s="5" t="s">
        <v>625</v>
      </c>
      <c r="I31" s="5" t="s">
        <v>85</v>
      </c>
      <c r="J31" s="10">
        <v>743</v>
      </c>
      <c r="K31" s="11">
        <v>5.5</v>
      </c>
      <c r="L31" s="12">
        <v>0</v>
      </c>
      <c r="M31" s="5"/>
      <c r="N31" s="5" t="s">
        <v>480</v>
      </c>
      <c r="O31" s="5" t="s">
        <v>626</v>
      </c>
    </row>
    <row r="32" spans="1:15">
      <c r="A32" s="6" t="s">
        <v>624</v>
      </c>
      <c r="B32" s="6" t="s">
        <v>627</v>
      </c>
      <c r="C32" s="6" t="s">
        <v>85</v>
      </c>
      <c r="D32" s="7">
        <v>743</v>
      </c>
      <c r="E32" s="7" t="s">
        <v>528</v>
      </c>
      <c r="F32" s="7" t="s">
        <v>529</v>
      </c>
      <c r="G32" s="6" t="s">
        <v>624</v>
      </c>
      <c r="H32" s="6" t="s">
        <v>72</v>
      </c>
      <c r="I32" s="6" t="s">
        <v>17</v>
      </c>
      <c r="J32" s="7">
        <v>748</v>
      </c>
      <c r="K32" s="8">
        <v>5.2230000495910645</v>
      </c>
      <c r="L32" s="9">
        <v>0</v>
      </c>
      <c r="M32" s="6"/>
      <c r="N32" s="6" t="s">
        <v>628</v>
      </c>
      <c r="O32" s="6" t="s">
        <v>629</v>
      </c>
    </row>
    <row r="33" spans="1:15">
      <c r="A33" s="5" t="s">
        <v>624</v>
      </c>
      <c r="B33" s="5" t="s">
        <v>630</v>
      </c>
      <c r="C33" s="5" t="s">
        <v>17</v>
      </c>
      <c r="D33" s="10">
        <v>748</v>
      </c>
      <c r="E33" s="35" t="s">
        <v>528</v>
      </c>
      <c r="F33" s="35" t="s">
        <v>529</v>
      </c>
      <c r="G33" s="5" t="s">
        <v>624</v>
      </c>
      <c r="H33" s="5" t="s">
        <v>131</v>
      </c>
      <c r="I33" s="5" t="s">
        <v>548</v>
      </c>
      <c r="J33" s="10">
        <v>754</v>
      </c>
      <c r="K33" s="11">
        <v>5.9210000038146973</v>
      </c>
      <c r="L33" s="12">
        <v>0</v>
      </c>
      <c r="M33" s="5"/>
      <c r="N33" s="5" t="s">
        <v>631</v>
      </c>
      <c r="O33" s="5" t="s">
        <v>632</v>
      </c>
    </row>
    <row r="34" spans="1:15">
      <c r="A34" s="6" t="s">
        <v>624</v>
      </c>
      <c r="B34" s="6" t="s">
        <v>538</v>
      </c>
      <c r="C34" s="6" t="s">
        <v>548</v>
      </c>
      <c r="D34" s="7">
        <v>754</v>
      </c>
      <c r="E34" s="7" t="s">
        <v>528</v>
      </c>
      <c r="F34" s="7" t="s">
        <v>529</v>
      </c>
      <c r="G34" s="6" t="s">
        <v>624</v>
      </c>
      <c r="H34" s="6" t="s">
        <v>580</v>
      </c>
      <c r="I34" s="6" t="s">
        <v>17</v>
      </c>
      <c r="J34" s="7">
        <v>760</v>
      </c>
      <c r="K34" s="8">
        <v>5.6510000228881836</v>
      </c>
      <c r="L34" s="9">
        <v>0</v>
      </c>
      <c r="M34" s="6"/>
      <c r="N34" s="6" t="s">
        <v>633</v>
      </c>
      <c r="O34" s="6" t="s">
        <v>634</v>
      </c>
    </row>
    <row r="35" spans="1:15">
      <c r="A35" s="5" t="s">
        <v>635</v>
      </c>
      <c r="B35" s="5" t="s">
        <v>268</v>
      </c>
      <c r="C35" s="5" t="s">
        <v>17</v>
      </c>
      <c r="D35" s="10">
        <v>760</v>
      </c>
      <c r="E35" s="35" t="s">
        <v>528</v>
      </c>
      <c r="F35" s="35" t="s">
        <v>529</v>
      </c>
      <c r="G35" s="5" t="s">
        <v>635</v>
      </c>
      <c r="H35" s="5" t="s">
        <v>119</v>
      </c>
      <c r="I35" s="5" t="s">
        <v>240</v>
      </c>
      <c r="J35" s="10">
        <v>764</v>
      </c>
      <c r="K35" s="11">
        <v>4.6719999313354492</v>
      </c>
      <c r="L35" s="12">
        <v>0</v>
      </c>
      <c r="M35" s="5"/>
      <c r="N35" s="5" t="s">
        <v>636</v>
      </c>
      <c r="O35" s="5" t="s">
        <v>637</v>
      </c>
    </row>
    <row r="36" spans="1:15">
      <c r="A36" s="6" t="s">
        <v>635</v>
      </c>
      <c r="B36" s="6" t="s">
        <v>638</v>
      </c>
      <c r="C36" s="6" t="s">
        <v>240</v>
      </c>
      <c r="D36" s="7">
        <v>764</v>
      </c>
      <c r="E36" s="7" t="s">
        <v>528</v>
      </c>
      <c r="F36" s="7" t="s">
        <v>529</v>
      </c>
      <c r="G36" s="6" t="s">
        <v>635</v>
      </c>
      <c r="H36" s="6" t="s">
        <v>156</v>
      </c>
      <c r="I36" s="6" t="s">
        <v>17</v>
      </c>
      <c r="J36" s="7">
        <v>769</v>
      </c>
      <c r="K36" s="8">
        <v>4.7709999084472656</v>
      </c>
      <c r="L36" s="9">
        <v>0</v>
      </c>
      <c r="M36" s="6"/>
      <c r="N36" s="6" t="s">
        <v>639</v>
      </c>
      <c r="O36" s="6" t="s">
        <v>640</v>
      </c>
    </row>
    <row r="37" spans="1:15">
      <c r="A37" s="5" t="s">
        <v>635</v>
      </c>
      <c r="B37" s="5" t="s">
        <v>400</v>
      </c>
      <c r="C37" s="5" t="s">
        <v>17</v>
      </c>
      <c r="D37" s="10">
        <v>769</v>
      </c>
      <c r="E37" s="35" t="s">
        <v>528</v>
      </c>
      <c r="F37" s="35" t="s">
        <v>529</v>
      </c>
      <c r="G37" s="5" t="s">
        <v>635</v>
      </c>
      <c r="H37" s="5" t="s">
        <v>291</v>
      </c>
      <c r="I37" s="5" t="s">
        <v>548</v>
      </c>
      <c r="J37" s="10">
        <v>775</v>
      </c>
      <c r="K37" s="11">
        <v>5.7880001068115234</v>
      </c>
      <c r="L37" s="12">
        <v>0</v>
      </c>
      <c r="M37" s="5"/>
      <c r="N37" s="5" t="s">
        <v>641</v>
      </c>
      <c r="O37" s="5" t="s">
        <v>642</v>
      </c>
    </row>
    <row r="38" spans="1:15">
      <c r="A38" s="6" t="s">
        <v>635</v>
      </c>
      <c r="B38" s="6" t="s">
        <v>109</v>
      </c>
      <c r="C38" s="6" t="s">
        <v>548</v>
      </c>
      <c r="D38" s="7">
        <v>775</v>
      </c>
      <c r="E38" s="7" t="s">
        <v>528</v>
      </c>
      <c r="F38" s="7" t="s">
        <v>529</v>
      </c>
      <c r="G38" s="6" t="s">
        <v>635</v>
      </c>
      <c r="H38" s="6" t="s">
        <v>277</v>
      </c>
      <c r="I38" s="6" t="s">
        <v>45</v>
      </c>
      <c r="J38" s="7">
        <v>781</v>
      </c>
      <c r="K38" s="8">
        <v>5.624000072479248</v>
      </c>
      <c r="L38" s="9">
        <v>0</v>
      </c>
      <c r="M38" s="6"/>
      <c r="N38" s="6" t="s">
        <v>643</v>
      </c>
      <c r="O38" s="6" t="s">
        <v>644</v>
      </c>
    </row>
    <row r="39" spans="1:15">
      <c r="A39" s="5" t="s">
        <v>635</v>
      </c>
      <c r="B39" s="5" t="s">
        <v>358</v>
      </c>
      <c r="C39" s="5" t="s">
        <v>45</v>
      </c>
      <c r="D39" s="10">
        <v>781</v>
      </c>
      <c r="E39" s="35" t="s">
        <v>528</v>
      </c>
      <c r="F39" s="35" t="s">
        <v>529</v>
      </c>
      <c r="G39" s="5" t="s">
        <v>635</v>
      </c>
      <c r="H39" s="5" t="s">
        <v>589</v>
      </c>
      <c r="I39" s="5" t="s">
        <v>390</v>
      </c>
      <c r="J39" s="10">
        <v>783</v>
      </c>
      <c r="K39" s="11">
        <v>2.2260000705718994</v>
      </c>
      <c r="L39" s="12">
        <v>0</v>
      </c>
      <c r="M39" s="5"/>
      <c r="N39" s="5" t="s">
        <v>645</v>
      </c>
      <c r="O39" s="5" t="s">
        <v>646</v>
      </c>
    </row>
    <row r="40" spans="1:15">
      <c r="A40" s="6" t="s">
        <v>635</v>
      </c>
      <c r="B40" s="6" t="s">
        <v>518</v>
      </c>
      <c r="C40" s="6" t="s">
        <v>390</v>
      </c>
      <c r="D40" s="7">
        <v>783</v>
      </c>
      <c r="E40" s="7" t="s">
        <v>528</v>
      </c>
      <c r="F40" s="7" t="s">
        <v>529</v>
      </c>
      <c r="G40" s="6" t="s">
        <v>635</v>
      </c>
      <c r="H40" s="6" t="s">
        <v>647</v>
      </c>
      <c r="I40" s="6" t="s">
        <v>17</v>
      </c>
      <c r="J40" s="7">
        <v>785</v>
      </c>
      <c r="K40" s="8">
        <v>2.3540000915527344</v>
      </c>
      <c r="L40" s="9">
        <v>0</v>
      </c>
      <c r="M40" s="6"/>
      <c r="N40" s="6" t="s">
        <v>648</v>
      </c>
      <c r="O40" s="6" t="s">
        <v>649</v>
      </c>
    </row>
    <row r="41" spans="1:15">
      <c r="A41" s="5" t="s">
        <v>650</v>
      </c>
      <c r="B41" s="5" t="s">
        <v>109</v>
      </c>
      <c r="C41" s="5" t="s">
        <v>17</v>
      </c>
      <c r="D41" s="10">
        <v>785</v>
      </c>
      <c r="E41" s="35" t="s">
        <v>528</v>
      </c>
      <c r="F41" s="35" t="s">
        <v>529</v>
      </c>
      <c r="G41" s="5" t="s">
        <v>650</v>
      </c>
      <c r="H41" s="5" t="s">
        <v>97</v>
      </c>
      <c r="I41" s="5" t="s">
        <v>651</v>
      </c>
      <c r="J41" s="10">
        <v>792</v>
      </c>
      <c r="K41" s="11">
        <v>6.1999998092651367</v>
      </c>
      <c r="L41" s="12">
        <v>0</v>
      </c>
      <c r="M41" s="5"/>
      <c r="N41" s="5" t="s">
        <v>652</v>
      </c>
      <c r="O41" s="5" t="s">
        <v>653</v>
      </c>
    </row>
    <row r="42" spans="1:15">
      <c r="A42" s="6" t="s">
        <v>650</v>
      </c>
      <c r="B42" s="6" t="s">
        <v>654</v>
      </c>
      <c r="C42" s="6" t="s">
        <v>651</v>
      </c>
      <c r="D42" s="7">
        <v>792</v>
      </c>
      <c r="E42" s="7" t="s">
        <v>528</v>
      </c>
      <c r="F42" s="7" t="s">
        <v>529</v>
      </c>
      <c r="G42" s="6" t="s">
        <v>650</v>
      </c>
      <c r="H42" s="6" t="s">
        <v>655</v>
      </c>
      <c r="I42" s="6" t="s">
        <v>45</v>
      </c>
      <c r="J42" s="7">
        <v>799</v>
      </c>
      <c r="K42" s="8">
        <v>7.3429999351501465</v>
      </c>
      <c r="L42" s="9">
        <v>0</v>
      </c>
      <c r="M42" s="6"/>
      <c r="N42" s="6" t="s">
        <v>656</v>
      </c>
      <c r="O42" s="6" t="s">
        <v>657</v>
      </c>
    </row>
    <row r="43" spans="1:15">
      <c r="A43" s="5" t="s">
        <v>650</v>
      </c>
      <c r="B43" s="5" t="s">
        <v>354</v>
      </c>
      <c r="C43" s="5" t="s">
        <v>17</v>
      </c>
      <c r="D43" s="10">
        <v>799</v>
      </c>
      <c r="E43" s="35" t="s">
        <v>528</v>
      </c>
      <c r="F43" s="35" t="s">
        <v>529</v>
      </c>
      <c r="G43" s="5" t="s">
        <v>650</v>
      </c>
      <c r="H43" s="5" t="s">
        <v>555</v>
      </c>
      <c r="I43" s="5" t="s">
        <v>280</v>
      </c>
      <c r="J43" s="10">
        <v>805</v>
      </c>
      <c r="K43" s="11">
        <v>5.6440000534057617</v>
      </c>
      <c r="L43" s="12">
        <v>0</v>
      </c>
      <c r="M43" s="5"/>
      <c r="N43" s="5" t="s">
        <v>587</v>
      </c>
      <c r="O43" s="5" t="s">
        <v>658</v>
      </c>
    </row>
    <row r="44" spans="1:15">
      <c r="A44" s="6" t="s">
        <v>650</v>
      </c>
      <c r="B44" s="6" t="s">
        <v>466</v>
      </c>
      <c r="C44" s="6" t="s">
        <v>280</v>
      </c>
      <c r="D44" s="7">
        <v>805</v>
      </c>
      <c r="E44" s="7" t="s">
        <v>528</v>
      </c>
      <c r="F44" s="7" t="s">
        <v>529</v>
      </c>
      <c r="G44" s="6" t="s">
        <v>650</v>
      </c>
      <c r="H44" s="6" t="s">
        <v>659</v>
      </c>
      <c r="I44" s="6" t="s">
        <v>292</v>
      </c>
      <c r="J44" s="7">
        <v>809</v>
      </c>
      <c r="K44" s="8">
        <v>4.8189997673034668</v>
      </c>
      <c r="L44" s="9">
        <v>0</v>
      </c>
      <c r="M44" s="6"/>
      <c r="N44" s="6" t="s">
        <v>660</v>
      </c>
      <c r="O44" s="6" t="s">
        <v>661</v>
      </c>
    </row>
    <row r="45" spans="1:15">
      <c r="A45" s="5" t="s">
        <v>650</v>
      </c>
      <c r="B45" s="5" t="s">
        <v>518</v>
      </c>
      <c r="C45" s="5" t="s">
        <v>292</v>
      </c>
      <c r="D45" s="10">
        <v>809</v>
      </c>
      <c r="E45" s="35" t="s">
        <v>528</v>
      </c>
      <c r="F45" s="35" t="s">
        <v>529</v>
      </c>
      <c r="G45" s="5" t="s">
        <v>650</v>
      </c>
      <c r="H45" s="5" t="s">
        <v>662</v>
      </c>
      <c r="I45" s="5" t="s">
        <v>280</v>
      </c>
      <c r="J45" s="10">
        <v>814</v>
      </c>
      <c r="K45" s="11">
        <v>4.6350002288818359</v>
      </c>
      <c r="L45" s="12">
        <v>0</v>
      </c>
      <c r="M45" s="5"/>
      <c r="N45" s="5" t="s">
        <v>663</v>
      </c>
      <c r="O45" s="5" t="s">
        <v>664</v>
      </c>
    </row>
    <row r="46" spans="1:15">
      <c r="A46" s="6" t="s">
        <v>650</v>
      </c>
      <c r="B46" s="6" t="s">
        <v>665</v>
      </c>
      <c r="C46" s="6" t="s">
        <v>280</v>
      </c>
      <c r="D46" s="7">
        <v>814</v>
      </c>
      <c r="E46" s="7" t="s">
        <v>528</v>
      </c>
      <c r="F46" s="7" t="s">
        <v>529</v>
      </c>
      <c r="G46" s="6" t="s">
        <v>650</v>
      </c>
      <c r="H46" s="6" t="s">
        <v>666</v>
      </c>
      <c r="I46" s="6" t="s">
        <v>17</v>
      </c>
      <c r="J46" s="7">
        <v>820</v>
      </c>
      <c r="K46" s="8">
        <v>5.9609999656677246</v>
      </c>
      <c r="L46" s="9">
        <v>0</v>
      </c>
      <c r="M46" s="6"/>
      <c r="N46" s="6" t="s">
        <v>667</v>
      </c>
      <c r="O46" s="6" t="s">
        <v>668</v>
      </c>
    </row>
    <row r="47" spans="1:15">
      <c r="A47" s="5" t="s">
        <v>669</v>
      </c>
      <c r="B47" s="5" t="s">
        <v>22</v>
      </c>
      <c r="C47" s="5" t="s">
        <v>17</v>
      </c>
      <c r="D47" s="10">
        <v>820</v>
      </c>
      <c r="E47" s="35" t="s">
        <v>528</v>
      </c>
      <c r="F47" s="35" t="s">
        <v>529</v>
      </c>
      <c r="G47" s="5" t="s">
        <v>669</v>
      </c>
      <c r="H47" s="5" t="s">
        <v>209</v>
      </c>
      <c r="I47" s="5" t="s">
        <v>247</v>
      </c>
      <c r="J47" s="10">
        <v>825</v>
      </c>
      <c r="K47" s="11">
        <v>4.750999927520752</v>
      </c>
      <c r="L47" s="12">
        <v>0</v>
      </c>
      <c r="M47" s="5"/>
      <c r="N47" s="5" t="s">
        <v>670</v>
      </c>
      <c r="O47" s="5" t="s">
        <v>671</v>
      </c>
    </row>
    <row r="48" spans="1:15">
      <c r="A48" s="6" t="s">
        <v>669</v>
      </c>
      <c r="B48" s="6" t="s">
        <v>244</v>
      </c>
      <c r="C48" s="6" t="s">
        <v>247</v>
      </c>
      <c r="D48" s="7">
        <v>825</v>
      </c>
      <c r="E48" s="7" t="s">
        <v>528</v>
      </c>
      <c r="F48" s="7" t="s">
        <v>529</v>
      </c>
      <c r="G48" s="6" t="s">
        <v>669</v>
      </c>
      <c r="H48" s="6" t="s">
        <v>479</v>
      </c>
      <c r="I48" s="6" t="s">
        <v>17</v>
      </c>
      <c r="J48" s="7">
        <v>829</v>
      </c>
      <c r="K48" s="8">
        <v>4.6620001792907715</v>
      </c>
      <c r="L48" s="9">
        <v>0</v>
      </c>
      <c r="M48" s="6"/>
      <c r="N48" s="6" t="s">
        <v>672</v>
      </c>
      <c r="O48" s="6" t="s">
        <v>673</v>
      </c>
    </row>
    <row r="49" spans="1:15">
      <c r="A49" s="5" t="s">
        <v>674</v>
      </c>
      <c r="B49" s="5" t="s">
        <v>675</v>
      </c>
      <c r="C49" s="5" t="s">
        <v>17</v>
      </c>
      <c r="D49" s="10">
        <v>829</v>
      </c>
      <c r="E49" s="35" t="s">
        <v>528</v>
      </c>
      <c r="F49" s="35" t="s">
        <v>529</v>
      </c>
      <c r="G49" s="5" t="s">
        <v>674</v>
      </c>
      <c r="H49" s="5" t="s">
        <v>676</v>
      </c>
      <c r="I49" s="5" t="s">
        <v>677</v>
      </c>
      <c r="J49" s="10">
        <v>835</v>
      </c>
      <c r="K49" s="11">
        <v>5.4460000991821289</v>
      </c>
      <c r="L49" s="12">
        <v>0</v>
      </c>
      <c r="M49" s="5"/>
      <c r="N49" s="5" t="s">
        <v>678</v>
      </c>
      <c r="O49" s="5" t="s">
        <v>679</v>
      </c>
    </row>
    <row r="50" spans="1:15">
      <c r="A50" s="6" t="s">
        <v>674</v>
      </c>
      <c r="B50" s="6" t="s">
        <v>229</v>
      </c>
      <c r="C50" s="6" t="s">
        <v>677</v>
      </c>
      <c r="D50" s="7">
        <v>835</v>
      </c>
      <c r="E50" s="7" t="s">
        <v>528</v>
      </c>
      <c r="F50" s="7" t="s">
        <v>529</v>
      </c>
      <c r="G50" s="6" t="s">
        <v>674</v>
      </c>
      <c r="H50" s="6" t="s">
        <v>235</v>
      </c>
      <c r="I50" s="6" t="s">
        <v>17</v>
      </c>
      <c r="J50" s="7">
        <v>841</v>
      </c>
      <c r="K50" s="8">
        <v>5.6279997825622559</v>
      </c>
      <c r="L50" s="9">
        <v>0</v>
      </c>
      <c r="M50" s="6"/>
      <c r="N50" s="6" t="s">
        <v>680</v>
      </c>
      <c r="O50" s="6" t="s">
        <v>681</v>
      </c>
    </row>
    <row r="51" spans="1:15">
      <c r="A51" s="5" t="s">
        <v>674</v>
      </c>
      <c r="B51" s="5" t="s">
        <v>580</v>
      </c>
      <c r="C51" s="5" t="s">
        <v>17</v>
      </c>
      <c r="D51" s="10">
        <v>841</v>
      </c>
      <c r="E51" s="35" t="s">
        <v>528</v>
      </c>
      <c r="F51" s="35" t="s">
        <v>529</v>
      </c>
      <c r="G51" s="5" t="s">
        <v>674</v>
      </c>
      <c r="H51" s="5" t="s">
        <v>682</v>
      </c>
      <c r="I51" s="5" t="s">
        <v>683</v>
      </c>
      <c r="J51" s="10">
        <v>850</v>
      </c>
      <c r="K51" s="11">
        <v>9.2270002365112305</v>
      </c>
      <c r="L51" s="12">
        <v>0</v>
      </c>
      <c r="M51" s="5"/>
      <c r="N51" s="5" t="s">
        <v>684</v>
      </c>
      <c r="O51" s="5" t="s">
        <v>685</v>
      </c>
    </row>
    <row r="52" spans="1:15">
      <c r="A52" s="6" t="s">
        <v>674</v>
      </c>
      <c r="B52" s="6" t="s">
        <v>355</v>
      </c>
      <c r="C52" s="6" t="s">
        <v>683</v>
      </c>
      <c r="D52" s="7">
        <v>850</v>
      </c>
      <c r="E52" s="7" t="s">
        <v>528</v>
      </c>
      <c r="F52" s="7" t="s">
        <v>529</v>
      </c>
      <c r="G52" s="6" t="s">
        <v>674</v>
      </c>
      <c r="H52" s="6" t="s">
        <v>556</v>
      </c>
      <c r="I52" s="6" t="s">
        <v>17</v>
      </c>
      <c r="J52" s="7">
        <v>859</v>
      </c>
      <c r="K52" s="8">
        <v>9.3590002059936523</v>
      </c>
      <c r="L52" s="9">
        <v>0</v>
      </c>
      <c r="M52" s="6"/>
      <c r="N52" s="6" t="s">
        <v>686</v>
      </c>
      <c r="O52" s="6" t="s">
        <v>687</v>
      </c>
    </row>
    <row r="53" spans="1:15">
      <c r="A53" s="5" t="s">
        <v>674</v>
      </c>
      <c r="B53" s="5" t="s">
        <v>688</v>
      </c>
      <c r="C53" s="5" t="s">
        <v>17</v>
      </c>
      <c r="D53" s="10">
        <v>859</v>
      </c>
      <c r="E53" s="35" t="s">
        <v>528</v>
      </c>
      <c r="F53" s="35" t="s">
        <v>529</v>
      </c>
      <c r="G53" s="5" t="s">
        <v>674</v>
      </c>
      <c r="H53" s="5" t="s">
        <v>689</v>
      </c>
      <c r="I53" s="5" t="s">
        <v>690</v>
      </c>
      <c r="J53" s="10">
        <v>862</v>
      </c>
      <c r="K53" s="11">
        <v>2.3940000534057617</v>
      </c>
      <c r="L53" s="12">
        <v>0</v>
      </c>
      <c r="M53" s="5"/>
      <c r="N53" s="5" t="s">
        <v>637</v>
      </c>
      <c r="O53" s="5" t="s">
        <v>691</v>
      </c>
    </row>
    <row r="54" spans="1:15">
      <c r="A54" s="6" t="s">
        <v>674</v>
      </c>
      <c r="B54" s="6" t="s">
        <v>692</v>
      </c>
      <c r="C54" s="6" t="s">
        <v>690</v>
      </c>
      <c r="D54" s="7">
        <v>862</v>
      </c>
      <c r="E54" s="7" t="s">
        <v>528</v>
      </c>
      <c r="F54" s="7" t="s">
        <v>529</v>
      </c>
      <c r="G54" s="6" t="s">
        <v>674</v>
      </c>
      <c r="H54" s="6" t="s">
        <v>693</v>
      </c>
      <c r="I54" s="6" t="s">
        <v>17</v>
      </c>
      <c r="J54" s="7">
        <v>864</v>
      </c>
      <c r="K54" s="8">
        <v>2.4749999046325684</v>
      </c>
      <c r="L54" s="9">
        <v>0</v>
      </c>
      <c r="M54" s="6"/>
      <c r="N54" s="6" t="s">
        <v>694</v>
      </c>
      <c r="O54" s="6" t="s">
        <v>695</v>
      </c>
    </row>
    <row r="55" spans="1:15">
      <c r="A55" s="5" t="s">
        <v>696</v>
      </c>
      <c r="B55" s="5" t="s">
        <v>697</v>
      </c>
      <c r="C55" s="5" t="s">
        <v>17</v>
      </c>
      <c r="D55" s="10">
        <v>864</v>
      </c>
      <c r="E55" s="35" t="s">
        <v>528</v>
      </c>
      <c r="F55" s="35" t="s">
        <v>529</v>
      </c>
      <c r="G55" s="5" t="s">
        <v>696</v>
      </c>
      <c r="H55" s="5" t="s">
        <v>203</v>
      </c>
      <c r="I55" s="5" t="s">
        <v>39</v>
      </c>
      <c r="J55" s="10">
        <v>870</v>
      </c>
      <c r="K55" s="11">
        <v>5.5539999008178711</v>
      </c>
      <c r="L55" s="12">
        <v>0</v>
      </c>
      <c r="M55" s="5"/>
      <c r="N55" s="5" t="s">
        <v>698</v>
      </c>
      <c r="O55" s="5" t="s">
        <v>278</v>
      </c>
    </row>
    <row r="56" spans="1:15">
      <c r="A56" s="6" t="s">
        <v>696</v>
      </c>
      <c r="B56" s="6" t="s">
        <v>675</v>
      </c>
      <c r="C56" s="6" t="s">
        <v>677</v>
      </c>
      <c r="D56" s="7">
        <v>870</v>
      </c>
      <c r="E56" s="7" t="s">
        <v>528</v>
      </c>
      <c r="F56" s="7" t="s">
        <v>529</v>
      </c>
      <c r="G56" s="6" t="s">
        <v>696</v>
      </c>
      <c r="H56" s="6" t="s">
        <v>699</v>
      </c>
      <c r="I56" s="6" t="s">
        <v>17</v>
      </c>
      <c r="J56" s="7">
        <v>875</v>
      </c>
      <c r="K56" s="8">
        <v>5.6609997749328613</v>
      </c>
      <c r="L56" s="9">
        <v>0</v>
      </c>
      <c r="M56" s="6"/>
      <c r="N56" s="6" t="s">
        <v>700</v>
      </c>
      <c r="O56" s="6" t="s">
        <v>701</v>
      </c>
    </row>
    <row r="57" spans="1:15">
      <c r="A57" s="5" t="s">
        <v>696</v>
      </c>
      <c r="B57" s="5" t="s">
        <v>702</v>
      </c>
      <c r="C57" s="5" t="s">
        <v>17</v>
      </c>
      <c r="D57" s="10">
        <v>875</v>
      </c>
      <c r="E57" s="35" t="s">
        <v>528</v>
      </c>
      <c r="F57" s="35" t="s">
        <v>529</v>
      </c>
      <c r="G57" s="5" t="s">
        <v>696</v>
      </c>
      <c r="H57" s="5" t="s">
        <v>703</v>
      </c>
      <c r="I57" s="5" t="s">
        <v>17</v>
      </c>
      <c r="J57" s="10">
        <v>879</v>
      </c>
      <c r="K57" s="11">
        <v>4.0789999961853027</v>
      </c>
      <c r="L57" s="12">
        <v>0</v>
      </c>
      <c r="M57" s="5"/>
      <c r="N57" s="5" t="s">
        <v>704</v>
      </c>
      <c r="O57" s="5" t="s">
        <v>705</v>
      </c>
    </row>
    <row r="58" spans="1:15">
      <c r="A58" s="6" t="s">
        <v>696</v>
      </c>
      <c r="B58" s="6" t="s">
        <v>682</v>
      </c>
      <c r="C58" s="6" t="s">
        <v>17</v>
      </c>
      <c r="D58" s="7">
        <v>879</v>
      </c>
      <c r="E58" s="7" t="s">
        <v>528</v>
      </c>
      <c r="F58" s="7" t="s">
        <v>529</v>
      </c>
      <c r="G58" s="6" t="s">
        <v>696</v>
      </c>
      <c r="H58" s="6" t="s">
        <v>404</v>
      </c>
      <c r="I58" s="6" t="s">
        <v>85</v>
      </c>
      <c r="J58" s="7">
        <v>885</v>
      </c>
      <c r="K58" s="8">
        <v>5.8829998970031738</v>
      </c>
      <c r="L58" s="9">
        <v>0</v>
      </c>
      <c r="M58" s="6"/>
      <c r="N58" s="6" t="s">
        <v>706</v>
      </c>
      <c r="O58" s="6" t="s">
        <v>543</v>
      </c>
    </row>
    <row r="59" spans="1:15">
      <c r="A59" s="5" t="s">
        <v>696</v>
      </c>
      <c r="B59" s="5" t="s">
        <v>707</v>
      </c>
      <c r="C59" s="5" t="s">
        <v>85</v>
      </c>
      <c r="D59" s="10">
        <v>885</v>
      </c>
      <c r="E59" s="35" t="s">
        <v>528</v>
      </c>
      <c r="F59" s="35" t="s">
        <v>529</v>
      </c>
      <c r="G59" s="5" t="s">
        <v>696</v>
      </c>
      <c r="H59" s="5" t="s">
        <v>518</v>
      </c>
      <c r="I59" s="5" t="s">
        <v>17</v>
      </c>
      <c r="J59" s="10">
        <v>891</v>
      </c>
      <c r="K59" s="11">
        <v>5.6069998741149902</v>
      </c>
      <c r="L59" s="12">
        <v>0</v>
      </c>
      <c r="M59" s="5"/>
      <c r="N59" s="5" t="s">
        <v>708</v>
      </c>
      <c r="O59" s="5" t="s">
        <v>709</v>
      </c>
    </row>
    <row r="60" spans="1:15">
      <c r="A60" s="6" t="s">
        <v>710</v>
      </c>
      <c r="B60" s="6" t="s">
        <v>711</v>
      </c>
      <c r="C60" s="6" t="s">
        <v>17</v>
      </c>
      <c r="D60" s="7">
        <v>891</v>
      </c>
      <c r="E60" s="7" t="s">
        <v>528</v>
      </c>
      <c r="F60" s="7" t="s">
        <v>529</v>
      </c>
      <c r="G60" s="6" t="s">
        <v>710</v>
      </c>
      <c r="H60" s="6" t="s">
        <v>712</v>
      </c>
      <c r="I60" s="6" t="s">
        <v>713</v>
      </c>
      <c r="J60" s="7">
        <v>892</v>
      </c>
      <c r="K60" s="8">
        <v>1.7029999494552612</v>
      </c>
      <c r="L60" s="9">
        <v>0</v>
      </c>
      <c r="M60" s="6"/>
      <c r="N60" s="6" t="s">
        <v>571</v>
      </c>
      <c r="O60" s="6" t="s">
        <v>714</v>
      </c>
    </row>
    <row r="61" spans="1:15">
      <c r="A61" s="5" t="s">
        <v>710</v>
      </c>
      <c r="B61" s="5" t="s">
        <v>697</v>
      </c>
      <c r="C61" s="5" t="s">
        <v>713</v>
      </c>
      <c r="D61" s="10">
        <v>892</v>
      </c>
      <c r="E61" s="35" t="s">
        <v>528</v>
      </c>
      <c r="F61" s="35" t="s">
        <v>529</v>
      </c>
      <c r="G61" s="5" t="s">
        <v>710</v>
      </c>
      <c r="H61" s="5" t="s">
        <v>715</v>
      </c>
      <c r="I61" s="5" t="s">
        <v>683</v>
      </c>
      <c r="J61" s="10">
        <v>900</v>
      </c>
      <c r="K61" s="11">
        <v>8.0059995651245117</v>
      </c>
      <c r="L61" s="12">
        <v>0</v>
      </c>
      <c r="M61" s="5"/>
      <c r="N61" s="5" t="s">
        <v>473</v>
      </c>
      <c r="O61" s="5" t="s">
        <v>716</v>
      </c>
    </row>
    <row r="62" spans="1:15">
      <c r="A62" s="6" t="s">
        <v>710</v>
      </c>
      <c r="B62" s="6" t="s">
        <v>717</v>
      </c>
      <c r="C62" s="6" t="s">
        <v>683</v>
      </c>
      <c r="D62" s="7">
        <v>900</v>
      </c>
      <c r="E62" s="7" t="s">
        <v>528</v>
      </c>
      <c r="F62" s="7" t="s">
        <v>529</v>
      </c>
      <c r="G62" s="6" t="s">
        <v>710</v>
      </c>
      <c r="H62" s="6" t="s">
        <v>718</v>
      </c>
      <c r="I62" s="6" t="s">
        <v>17</v>
      </c>
      <c r="J62" s="7">
        <v>910</v>
      </c>
      <c r="K62" s="8">
        <v>9.3310003280639648</v>
      </c>
      <c r="L62" s="9">
        <v>0</v>
      </c>
      <c r="M62" s="6"/>
      <c r="N62" s="6" t="s">
        <v>719</v>
      </c>
      <c r="O62" s="6" t="s">
        <v>720</v>
      </c>
    </row>
    <row r="63" spans="1:15">
      <c r="A63" s="5" t="s">
        <v>721</v>
      </c>
      <c r="B63" s="5" t="s">
        <v>471</v>
      </c>
      <c r="C63" s="5" t="s">
        <v>17</v>
      </c>
      <c r="D63" s="10">
        <v>910</v>
      </c>
      <c r="E63" s="35" t="s">
        <v>528</v>
      </c>
      <c r="F63" s="35" t="s">
        <v>529</v>
      </c>
      <c r="G63" s="5" t="s">
        <v>721</v>
      </c>
      <c r="H63" s="5" t="s">
        <v>722</v>
      </c>
      <c r="I63" s="5" t="s">
        <v>534</v>
      </c>
      <c r="J63" s="10">
        <v>914</v>
      </c>
      <c r="K63" s="11">
        <v>3.878000020980835</v>
      </c>
      <c r="L63" s="12">
        <v>0</v>
      </c>
      <c r="M63" s="5"/>
      <c r="N63" s="5" t="s">
        <v>723</v>
      </c>
      <c r="O63" s="5" t="s">
        <v>724</v>
      </c>
    </row>
    <row r="64" spans="1:15">
      <c r="A64" s="6" t="s">
        <v>721</v>
      </c>
      <c r="B64" s="6" t="s">
        <v>505</v>
      </c>
      <c r="C64" s="6" t="s">
        <v>534</v>
      </c>
      <c r="D64" s="7">
        <v>914</v>
      </c>
      <c r="E64" s="7" t="s">
        <v>528</v>
      </c>
      <c r="F64" s="7" t="s">
        <v>529</v>
      </c>
      <c r="G64" s="6" t="s">
        <v>721</v>
      </c>
      <c r="H64" s="6" t="s">
        <v>210</v>
      </c>
      <c r="I64" s="6" t="s">
        <v>29</v>
      </c>
      <c r="J64" s="7">
        <v>917</v>
      </c>
      <c r="K64" s="8">
        <v>2.9900000095367432</v>
      </c>
      <c r="L64" s="9">
        <v>0</v>
      </c>
      <c r="M64" s="6"/>
      <c r="N64" s="6" t="s">
        <v>725</v>
      </c>
      <c r="O64" s="6" t="s">
        <v>726</v>
      </c>
    </row>
    <row r="65" spans="1:15">
      <c r="A65" s="5" t="s">
        <v>721</v>
      </c>
      <c r="B65" s="5" t="s">
        <v>727</v>
      </c>
      <c r="C65" s="5" t="s">
        <v>29</v>
      </c>
      <c r="D65" s="10">
        <v>917</v>
      </c>
      <c r="E65" s="35" t="s">
        <v>528</v>
      </c>
      <c r="F65" s="35" t="s">
        <v>529</v>
      </c>
      <c r="G65" s="5" t="s">
        <v>721</v>
      </c>
      <c r="H65" s="5" t="s">
        <v>426</v>
      </c>
      <c r="I65" s="5" t="s">
        <v>17</v>
      </c>
      <c r="J65" s="10">
        <v>918</v>
      </c>
      <c r="K65" s="11">
        <v>1.2100000381469727</v>
      </c>
      <c r="L65" s="12">
        <v>0</v>
      </c>
      <c r="M65" s="5"/>
      <c r="N65" s="5" t="s">
        <v>728</v>
      </c>
      <c r="O65" s="5" t="s">
        <v>729</v>
      </c>
    </row>
    <row r="66" spans="1:15">
      <c r="A66" s="6" t="s">
        <v>721</v>
      </c>
      <c r="B66" s="6" t="s">
        <v>96</v>
      </c>
      <c r="C66" s="6" t="s">
        <v>17</v>
      </c>
      <c r="D66" s="7">
        <v>918</v>
      </c>
      <c r="E66" s="7" t="s">
        <v>528</v>
      </c>
      <c r="F66" s="7" t="s">
        <v>529</v>
      </c>
      <c r="G66" s="6" t="s">
        <v>721</v>
      </c>
      <c r="H66" s="6" t="s">
        <v>97</v>
      </c>
      <c r="I66" s="6" t="s">
        <v>548</v>
      </c>
      <c r="J66" s="7">
        <v>924</v>
      </c>
      <c r="K66" s="8">
        <v>5.7820000648498535</v>
      </c>
      <c r="L66" s="9">
        <v>0</v>
      </c>
      <c r="M66" s="6"/>
      <c r="N66" s="6" t="s">
        <v>473</v>
      </c>
      <c r="O66" s="6" t="s">
        <v>730</v>
      </c>
    </row>
    <row r="67" spans="1:15">
      <c r="A67" s="5" t="s">
        <v>721</v>
      </c>
      <c r="B67" s="5" t="s">
        <v>630</v>
      </c>
      <c r="C67" s="5" t="s">
        <v>548</v>
      </c>
      <c r="D67" s="10">
        <v>924</v>
      </c>
      <c r="E67" s="35" t="s">
        <v>528</v>
      </c>
      <c r="F67" s="35" t="s">
        <v>529</v>
      </c>
      <c r="G67" s="5" t="s">
        <v>721</v>
      </c>
      <c r="H67" s="5" t="s">
        <v>131</v>
      </c>
      <c r="I67" s="5" t="s">
        <v>17</v>
      </c>
      <c r="J67" s="10">
        <v>929</v>
      </c>
      <c r="K67" s="11">
        <v>5.4699997901916504</v>
      </c>
      <c r="L67" s="12">
        <v>0</v>
      </c>
      <c r="M67" s="5"/>
      <c r="N67" s="5" t="s">
        <v>223</v>
      </c>
      <c r="O67" s="5" t="s">
        <v>731</v>
      </c>
    </row>
    <row r="68" spans="1:15">
      <c r="A68" s="6" t="s">
        <v>732</v>
      </c>
      <c r="B68" s="6" t="s">
        <v>363</v>
      </c>
      <c r="C68" s="6" t="s">
        <v>17</v>
      </c>
      <c r="D68" s="7">
        <v>929</v>
      </c>
      <c r="E68" s="7" t="s">
        <v>528</v>
      </c>
      <c r="F68" s="7" t="s">
        <v>529</v>
      </c>
      <c r="G68" s="6" t="s">
        <v>732</v>
      </c>
      <c r="H68" s="6" t="s">
        <v>733</v>
      </c>
      <c r="I68" s="6" t="s">
        <v>734</v>
      </c>
      <c r="J68" s="7">
        <v>939</v>
      </c>
      <c r="K68" s="8">
        <v>9.4879999160766602</v>
      </c>
      <c r="L68" s="9">
        <v>0</v>
      </c>
      <c r="M68" s="6"/>
      <c r="N68" s="6" t="s">
        <v>194</v>
      </c>
      <c r="O68" s="6" t="s">
        <v>735</v>
      </c>
    </row>
    <row r="69" spans="1:15">
      <c r="A69" s="5" t="s">
        <v>732</v>
      </c>
      <c r="B69" s="5" t="s">
        <v>118</v>
      </c>
      <c r="C69" s="5" t="s">
        <v>734</v>
      </c>
      <c r="D69" s="10">
        <v>939</v>
      </c>
      <c r="E69" s="35" t="s">
        <v>528</v>
      </c>
      <c r="F69" s="35" t="s">
        <v>529</v>
      </c>
      <c r="G69" s="5" t="s">
        <v>732</v>
      </c>
      <c r="H69" s="5" t="s">
        <v>736</v>
      </c>
      <c r="I69" s="5" t="s">
        <v>734</v>
      </c>
      <c r="J69" s="10">
        <v>939</v>
      </c>
      <c r="K69" s="11">
        <v>0.50800001621246338</v>
      </c>
      <c r="L69" s="12">
        <v>0</v>
      </c>
      <c r="M69" s="5"/>
      <c r="N69" s="5" t="s">
        <v>74</v>
      </c>
      <c r="O69" s="5" t="s">
        <v>737</v>
      </c>
    </row>
    <row r="70" spans="1:15">
      <c r="A70" s="6" t="s">
        <v>732</v>
      </c>
      <c r="B70" s="6" t="s">
        <v>738</v>
      </c>
      <c r="C70" s="6" t="s">
        <v>734</v>
      </c>
      <c r="D70" s="7">
        <v>939</v>
      </c>
      <c r="E70" s="7" t="s">
        <v>528</v>
      </c>
      <c r="F70" s="7" t="s">
        <v>529</v>
      </c>
      <c r="G70" s="6" t="s">
        <v>732</v>
      </c>
      <c r="H70" s="6" t="s">
        <v>739</v>
      </c>
      <c r="I70" s="6" t="s">
        <v>740</v>
      </c>
      <c r="J70" s="7">
        <v>940</v>
      </c>
      <c r="K70" s="8">
        <v>0.60199999809265137</v>
      </c>
      <c r="L70" s="9">
        <v>0</v>
      </c>
      <c r="M70" s="6"/>
      <c r="N70" s="6" t="s">
        <v>741</v>
      </c>
      <c r="O70" s="6" t="s">
        <v>742</v>
      </c>
    </row>
    <row r="71" spans="1:15">
      <c r="A71" s="5" t="s">
        <v>732</v>
      </c>
      <c r="B71" s="5" t="s">
        <v>743</v>
      </c>
      <c r="C71" s="5" t="s">
        <v>740</v>
      </c>
      <c r="D71" s="10">
        <v>940</v>
      </c>
      <c r="E71" s="35" t="s">
        <v>528</v>
      </c>
      <c r="F71" s="35" t="s">
        <v>529</v>
      </c>
      <c r="G71" s="5" t="s">
        <v>732</v>
      </c>
      <c r="H71" s="5" t="s">
        <v>662</v>
      </c>
      <c r="I71" s="5" t="s">
        <v>17</v>
      </c>
      <c r="J71" s="10">
        <v>949</v>
      </c>
      <c r="K71" s="11">
        <v>9.4659996032714844</v>
      </c>
      <c r="L71" s="12">
        <v>0</v>
      </c>
      <c r="M71" s="5"/>
      <c r="N71" s="5" t="s">
        <v>540</v>
      </c>
      <c r="O71" s="5" t="s">
        <v>744</v>
      </c>
    </row>
    <row r="72" spans="1:15">
      <c r="A72" s="6" t="s">
        <v>745</v>
      </c>
      <c r="B72" s="6" t="s">
        <v>702</v>
      </c>
      <c r="C72" s="6" t="s">
        <v>17</v>
      </c>
      <c r="D72" s="7">
        <v>949</v>
      </c>
      <c r="E72" s="7" t="s">
        <v>528</v>
      </c>
      <c r="F72" s="7" t="s">
        <v>529</v>
      </c>
      <c r="G72" s="6" t="s">
        <v>745</v>
      </c>
      <c r="H72" s="6" t="s">
        <v>746</v>
      </c>
      <c r="I72" s="6" t="s">
        <v>240</v>
      </c>
      <c r="J72" s="7">
        <v>954</v>
      </c>
      <c r="K72" s="8">
        <v>4.8670001029968262</v>
      </c>
      <c r="L72" s="9">
        <v>0</v>
      </c>
      <c r="M72" s="6"/>
      <c r="N72" s="6" t="s">
        <v>747</v>
      </c>
      <c r="O72" s="6" t="s">
        <v>748</v>
      </c>
    </row>
    <row r="73" spans="1:15">
      <c r="A73" s="5" t="s">
        <v>745</v>
      </c>
      <c r="B73" s="5" t="s">
        <v>104</v>
      </c>
      <c r="C73" s="5" t="s">
        <v>240</v>
      </c>
      <c r="D73" s="10">
        <v>954</v>
      </c>
      <c r="E73" s="35" t="s">
        <v>528</v>
      </c>
      <c r="F73" s="35" t="s">
        <v>529</v>
      </c>
      <c r="G73" s="5" t="s">
        <v>745</v>
      </c>
      <c r="H73" s="5" t="s">
        <v>268</v>
      </c>
      <c r="I73" s="5" t="s">
        <v>17</v>
      </c>
      <c r="J73" s="10">
        <v>959</v>
      </c>
      <c r="K73" s="11">
        <v>4.8299999237060547</v>
      </c>
      <c r="L73" s="12">
        <v>0</v>
      </c>
      <c r="M73" s="5"/>
      <c r="N73" s="5" t="s">
        <v>749</v>
      </c>
      <c r="O73" s="5" t="s">
        <v>750</v>
      </c>
    </row>
    <row r="74" spans="1:15">
      <c r="A74" s="6" t="s">
        <v>745</v>
      </c>
      <c r="B74" s="6" t="s">
        <v>59</v>
      </c>
      <c r="C74" s="6" t="s">
        <v>17</v>
      </c>
      <c r="D74" s="7">
        <v>959</v>
      </c>
      <c r="E74" s="7" t="s">
        <v>528</v>
      </c>
      <c r="F74" s="7" t="s">
        <v>529</v>
      </c>
      <c r="G74" s="6" t="s">
        <v>745</v>
      </c>
      <c r="H74" s="6" t="s">
        <v>751</v>
      </c>
      <c r="I74" s="6" t="s">
        <v>390</v>
      </c>
      <c r="J74" s="7">
        <v>961</v>
      </c>
      <c r="K74" s="8">
        <v>2.2920000553131104</v>
      </c>
      <c r="L74" s="9">
        <v>0</v>
      </c>
      <c r="M74" s="6"/>
      <c r="N74" s="6" t="s">
        <v>571</v>
      </c>
      <c r="O74" s="6" t="s">
        <v>752</v>
      </c>
    </row>
    <row r="75" spans="1:15">
      <c r="A75" s="5" t="s">
        <v>745</v>
      </c>
      <c r="B75" s="5" t="s">
        <v>753</v>
      </c>
      <c r="C75" s="5" t="s">
        <v>754</v>
      </c>
      <c r="D75" s="10">
        <v>961</v>
      </c>
      <c r="E75" s="35" t="s">
        <v>528</v>
      </c>
      <c r="F75" s="35" t="s">
        <v>529</v>
      </c>
      <c r="G75" s="5" t="s">
        <v>745</v>
      </c>
      <c r="H75" s="5" t="s">
        <v>727</v>
      </c>
      <c r="I75" s="5" t="s">
        <v>506</v>
      </c>
      <c r="J75" s="10">
        <v>963</v>
      </c>
      <c r="K75" s="11">
        <v>1.9589999914169312</v>
      </c>
      <c r="L75" s="12">
        <v>0</v>
      </c>
      <c r="M75" s="5"/>
      <c r="N75" s="5" t="s">
        <v>691</v>
      </c>
      <c r="O75" s="5" t="s">
        <v>755</v>
      </c>
    </row>
    <row r="76" spans="1:15">
      <c r="A76" s="6" t="s">
        <v>745</v>
      </c>
      <c r="B76" s="6" t="s">
        <v>509</v>
      </c>
      <c r="C76" s="6" t="s">
        <v>506</v>
      </c>
      <c r="D76" s="7">
        <v>963</v>
      </c>
      <c r="E76" s="7" t="s">
        <v>528</v>
      </c>
      <c r="F76" s="7" t="s">
        <v>529</v>
      </c>
      <c r="G76" s="6" t="s">
        <v>745</v>
      </c>
      <c r="H76" s="6" t="s">
        <v>756</v>
      </c>
      <c r="I76" s="6" t="s">
        <v>45</v>
      </c>
      <c r="J76" s="7">
        <v>965</v>
      </c>
      <c r="K76" s="8">
        <v>1.5440000295639038</v>
      </c>
      <c r="L76" s="9">
        <v>0</v>
      </c>
      <c r="M76" s="6"/>
      <c r="N76" s="6" t="s">
        <v>757</v>
      </c>
      <c r="O76" s="6" t="s">
        <v>758</v>
      </c>
    </row>
    <row r="77" spans="1:15">
      <c r="A77" s="5" t="s">
        <v>745</v>
      </c>
      <c r="B77" s="5" t="s">
        <v>759</v>
      </c>
      <c r="C77" s="5" t="s">
        <v>45</v>
      </c>
      <c r="D77" s="10">
        <v>965</v>
      </c>
      <c r="E77" s="35" t="s">
        <v>528</v>
      </c>
      <c r="F77" s="35" t="s">
        <v>529</v>
      </c>
      <c r="G77" s="5" t="s">
        <v>745</v>
      </c>
      <c r="H77" s="5" t="s">
        <v>513</v>
      </c>
      <c r="I77" s="5" t="s">
        <v>760</v>
      </c>
      <c r="J77" s="10">
        <v>980</v>
      </c>
      <c r="K77" s="11">
        <v>14.793999671936035</v>
      </c>
      <c r="L77" s="12">
        <v>0</v>
      </c>
      <c r="M77" s="5"/>
      <c r="N77" s="5" t="s">
        <v>761</v>
      </c>
      <c r="O77" s="5" t="s">
        <v>762</v>
      </c>
    </row>
    <row r="78" spans="1:15">
      <c r="A78" s="6" t="s">
        <v>745</v>
      </c>
      <c r="B78" s="6" t="s">
        <v>763</v>
      </c>
      <c r="C78" s="6" t="s">
        <v>760</v>
      </c>
      <c r="D78" s="7">
        <v>980</v>
      </c>
      <c r="E78" s="7" t="s">
        <v>528</v>
      </c>
      <c r="F78" s="7" t="s">
        <v>529</v>
      </c>
      <c r="G78" s="6" t="s">
        <v>745</v>
      </c>
      <c r="H78" s="6" t="s">
        <v>422</v>
      </c>
      <c r="I78" s="6" t="s">
        <v>17</v>
      </c>
      <c r="J78" s="7">
        <v>995</v>
      </c>
      <c r="K78" s="8">
        <v>15.66100025177002</v>
      </c>
      <c r="L78" s="9">
        <v>0</v>
      </c>
      <c r="M78" s="6"/>
      <c r="N78" s="6" t="s">
        <v>764</v>
      </c>
      <c r="O78" s="6" t="s">
        <v>765</v>
      </c>
    </row>
    <row r="79" spans="1:15">
      <c r="A79" s="5" t="s">
        <v>766</v>
      </c>
      <c r="B79" s="5" t="s">
        <v>393</v>
      </c>
      <c r="C79" s="5" t="s">
        <v>17</v>
      </c>
      <c r="D79" s="10">
        <v>995</v>
      </c>
      <c r="E79" s="35" t="s">
        <v>528</v>
      </c>
      <c r="F79" s="35" t="s">
        <v>529</v>
      </c>
      <c r="G79" s="5" t="s">
        <v>766</v>
      </c>
      <c r="H79" s="5" t="s">
        <v>767</v>
      </c>
      <c r="I79" s="5" t="s">
        <v>17</v>
      </c>
      <c r="J79" s="10">
        <v>1006</v>
      </c>
      <c r="K79" s="11">
        <v>10.980999946594238</v>
      </c>
      <c r="L79" s="12">
        <v>0</v>
      </c>
      <c r="M79" s="5"/>
      <c r="N79" s="5" t="s">
        <v>768</v>
      </c>
      <c r="O79" s="5" t="s">
        <v>769</v>
      </c>
    </row>
    <row r="80" spans="1:15">
      <c r="A80" s="6" t="s">
        <v>766</v>
      </c>
      <c r="B80" s="6" t="s">
        <v>542</v>
      </c>
      <c r="C80" s="6" t="s">
        <v>17</v>
      </c>
      <c r="D80" s="7">
        <v>1006</v>
      </c>
      <c r="E80" s="7" t="s">
        <v>528</v>
      </c>
      <c r="F80" s="7" t="s">
        <v>529</v>
      </c>
      <c r="G80" s="6" t="s">
        <v>766</v>
      </c>
      <c r="H80" s="6" t="s">
        <v>555</v>
      </c>
      <c r="I80" s="6" t="s">
        <v>770</v>
      </c>
      <c r="J80" s="7">
        <v>1008</v>
      </c>
      <c r="K80" s="8">
        <v>1.7020000219345093</v>
      </c>
      <c r="L80" s="9">
        <v>0</v>
      </c>
      <c r="M80" s="6"/>
      <c r="N80" s="6" t="s">
        <v>757</v>
      </c>
      <c r="O80" s="6" t="s">
        <v>179</v>
      </c>
    </row>
    <row r="81" spans="1:15">
      <c r="A81" s="5" t="s">
        <v>766</v>
      </c>
      <c r="B81" s="5" t="s">
        <v>771</v>
      </c>
      <c r="C81" s="5" t="s">
        <v>770</v>
      </c>
      <c r="D81" s="10">
        <v>1008</v>
      </c>
      <c r="E81" s="35" t="s">
        <v>528</v>
      </c>
      <c r="F81" s="35" t="s">
        <v>529</v>
      </c>
      <c r="G81" s="5" t="s">
        <v>766</v>
      </c>
      <c r="H81" s="5" t="s">
        <v>359</v>
      </c>
      <c r="I81" s="5" t="s">
        <v>683</v>
      </c>
      <c r="J81" s="10">
        <v>1016</v>
      </c>
      <c r="K81" s="11">
        <v>8.0170001983642578</v>
      </c>
      <c r="L81" s="12">
        <v>0</v>
      </c>
      <c r="M81" s="5"/>
      <c r="N81" s="5" t="s">
        <v>772</v>
      </c>
      <c r="O81" s="5" t="s">
        <v>773</v>
      </c>
    </row>
    <row r="82" spans="1:15">
      <c r="A82" s="6" t="s">
        <v>766</v>
      </c>
      <c r="B82" s="6" t="s">
        <v>422</v>
      </c>
      <c r="C82" s="6" t="s">
        <v>683</v>
      </c>
      <c r="D82" s="7">
        <v>1016</v>
      </c>
      <c r="E82" s="7" t="s">
        <v>528</v>
      </c>
      <c r="F82" s="7" t="s">
        <v>529</v>
      </c>
      <c r="G82" s="6" t="s">
        <v>766</v>
      </c>
      <c r="H82" s="6" t="s">
        <v>774</v>
      </c>
      <c r="I82" s="6" t="s">
        <v>17</v>
      </c>
      <c r="J82" s="7">
        <v>1025</v>
      </c>
      <c r="K82" s="8">
        <v>9.3559999465942383</v>
      </c>
      <c r="L82" s="9">
        <v>0</v>
      </c>
      <c r="M82" s="6"/>
      <c r="N82" s="6" t="s">
        <v>775</v>
      </c>
      <c r="O82" s="6" t="s">
        <v>776</v>
      </c>
    </row>
    <row r="83" spans="1:15">
      <c r="A83" s="5" t="s">
        <v>777</v>
      </c>
      <c r="B83" s="5" t="s">
        <v>778</v>
      </c>
      <c r="C83" s="5" t="s">
        <v>17</v>
      </c>
      <c r="D83" s="10">
        <v>1025</v>
      </c>
      <c r="E83" s="35" t="s">
        <v>528</v>
      </c>
      <c r="F83" s="35" t="s">
        <v>529</v>
      </c>
      <c r="G83" s="5" t="s">
        <v>777</v>
      </c>
      <c r="H83" s="5" t="s">
        <v>541</v>
      </c>
      <c r="I83" s="5" t="s">
        <v>85</v>
      </c>
      <c r="J83" s="10">
        <v>1031</v>
      </c>
      <c r="K83" s="11">
        <v>6.064000129699707</v>
      </c>
      <c r="L83" s="12">
        <v>0</v>
      </c>
      <c r="M83" s="5"/>
      <c r="N83" s="5" t="s">
        <v>779</v>
      </c>
      <c r="O83" s="5" t="s">
        <v>780</v>
      </c>
    </row>
    <row r="84" spans="1:15">
      <c r="A84" s="6" t="s">
        <v>777</v>
      </c>
      <c r="B84" s="6" t="s">
        <v>781</v>
      </c>
      <c r="C84" s="6" t="s">
        <v>85</v>
      </c>
      <c r="D84" s="7">
        <v>1031</v>
      </c>
      <c r="E84" s="7" t="s">
        <v>528</v>
      </c>
      <c r="F84" s="7" t="s">
        <v>529</v>
      </c>
      <c r="G84" s="6" t="s">
        <v>777</v>
      </c>
      <c r="H84" s="6" t="s">
        <v>407</v>
      </c>
      <c r="I84" s="6" t="s">
        <v>45</v>
      </c>
      <c r="J84" s="7">
        <v>1037</v>
      </c>
      <c r="K84" s="8">
        <v>5.375999927520752</v>
      </c>
      <c r="L84" s="9">
        <v>0</v>
      </c>
      <c r="M84" s="6"/>
      <c r="N84" s="6" t="s">
        <v>782</v>
      </c>
      <c r="O84" s="6" t="s">
        <v>783</v>
      </c>
    </row>
    <row r="85" spans="1:15">
      <c r="A85" s="5" t="s">
        <v>777</v>
      </c>
      <c r="B85" s="5" t="s">
        <v>784</v>
      </c>
      <c r="C85" s="5" t="s">
        <v>45</v>
      </c>
      <c r="D85" s="10">
        <v>1037</v>
      </c>
      <c r="E85" s="35" t="s">
        <v>528</v>
      </c>
      <c r="F85" s="35" t="s">
        <v>529</v>
      </c>
      <c r="G85" s="5" t="s">
        <v>777</v>
      </c>
      <c r="H85" s="5" t="s">
        <v>785</v>
      </c>
      <c r="I85" s="5" t="s">
        <v>85</v>
      </c>
      <c r="J85" s="10">
        <v>1043</v>
      </c>
      <c r="K85" s="11">
        <v>5.8239998817443848</v>
      </c>
      <c r="L85" s="12">
        <v>0</v>
      </c>
      <c r="M85" s="5"/>
      <c r="N85" s="5" t="s">
        <v>786</v>
      </c>
      <c r="O85" s="5" t="s">
        <v>787</v>
      </c>
    </row>
    <row r="86" spans="1:15">
      <c r="A86" s="6" t="s">
        <v>777</v>
      </c>
      <c r="B86" s="6" t="s">
        <v>788</v>
      </c>
      <c r="C86" s="6" t="s">
        <v>85</v>
      </c>
      <c r="D86" s="7">
        <v>1043</v>
      </c>
      <c r="E86" s="7" t="s">
        <v>528</v>
      </c>
      <c r="F86" s="7" t="s">
        <v>529</v>
      </c>
      <c r="G86" s="6" t="s">
        <v>777</v>
      </c>
      <c r="H86" s="6" t="s">
        <v>789</v>
      </c>
      <c r="I86" s="6" t="s">
        <v>45</v>
      </c>
      <c r="J86" s="7">
        <v>1048</v>
      </c>
      <c r="K86" s="8">
        <v>5.3000001907348633</v>
      </c>
      <c r="L86" s="9">
        <v>0</v>
      </c>
      <c r="M86" s="6"/>
      <c r="N86" s="6" t="s">
        <v>357</v>
      </c>
      <c r="O86" s="6" t="s">
        <v>790</v>
      </c>
    </row>
    <row r="87" spans="1:15">
      <c r="A87" s="5" t="s">
        <v>791</v>
      </c>
      <c r="B87" s="5" t="s">
        <v>792</v>
      </c>
      <c r="C87" s="5" t="s">
        <v>45</v>
      </c>
      <c r="D87" s="10">
        <v>1048</v>
      </c>
      <c r="E87" s="35" t="s">
        <v>528</v>
      </c>
      <c r="F87" s="35" t="s">
        <v>529</v>
      </c>
      <c r="G87" s="5" t="s">
        <v>791</v>
      </c>
      <c r="H87" s="5" t="s">
        <v>152</v>
      </c>
      <c r="I87" s="5" t="s">
        <v>548</v>
      </c>
      <c r="J87" s="10">
        <v>1054</v>
      </c>
      <c r="K87" s="11">
        <v>5.9089999198913574</v>
      </c>
      <c r="L87" s="12">
        <v>0</v>
      </c>
      <c r="M87" s="5"/>
      <c r="N87" s="5" t="s">
        <v>793</v>
      </c>
      <c r="O87" s="5" t="s">
        <v>794</v>
      </c>
    </row>
    <row r="88" spans="1:15">
      <c r="A88" s="6" t="s">
        <v>791</v>
      </c>
      <c r="B88" s="6" t="s">
        <v>625</v>
      </c>
      <c r="C88" s="6" t="s">
        <v>548</v>
      </c>
      <c r="D88" s="7">
        <v>1054</v>
      </c>
      <c r="E88" s="7" t="s">
        <v>528</v>
      </c>
      <c r="F88" s="7" t="s">
        <v>529</v>
      </c>
      <c r="G88" s="6" t="s">
        <v>791</v>
      </c>
      <c r="H88" s="6" t="s">
        <v>72</v>
      </c>
      <c r="I88" s="6" t="s">
        <v>45</v>
      </c>
      <c r="J88" s="7">
        <v>1059</v>
      </c>
      <c r="K88" s="8">
        <v>5.5469999313354492</v>
      </c>
      <c r="L88" s="9">
        <v>0</v>
      </c>
      <c r="M88" s="6"/>
      <c r="N88" s="6" t="s">
        <v>795</v>
      </c>
      <c r="O88" s="6" t="s">
        <v>796</v>
      </c>
    </row>
    <row r="89" spans="1:15">
      <c r="A89" s="5" t="s">
        <v>791</v>
      </c>
      <c r="B89" s="5" t="s">
        <v>417</v>
      </c>
      <c r="C89" s="5" t="s">
        <v>45</v>
      </c>
      <c r="D89" s="10">
        <v>1059</v>
      </c>
      <c r="E89" s="35" t="s">
        <v>528</v>
      </c>
      <c r="F89" s="35" t="s">
        <v>529</v>
      </c>
      <c r="G89" s="5" t="s">
        <v>791</v>
      </c>
      <c r="H89" s="5" t="s">
        <v>462</v>
      </c>
      <c r="I89" s="5" t="s">
        <v>548</v>
      </c>
      <c r="J89" s="10">
        <v>1065</v>
      </c>
      <c r="K89" s="11">
        <v>5.8489999771118164</v>
      </c>
      <c r="L89" s="12">
        <v>0</v>
      </c>
      <c r="M89" s="5"/>
      <c r="N89" s="5" t="s">
        <v>90</v>
      </c>
      <c r="O89" s="5" t="s">
        <v>797</v>
      </c>
    </row>
    <row r="90" spans="1:15">
      <c r="A90" s="6" t="s">
        <v>791</v>
      </c>
      <c r="B90" s="6" t="s">
        <v>404</v>
      </c>
      <c r="C90" s="6" t="s">
        <v>548</v>
      </c>
      <c r="D90" s="7">
        <v>1065</v>
      </c>
      <c r="E90" s="7" t="s">
        <v>528</v>
      </c>
      <c r="F90" s="7" t="s">
        <v>529</v>
      </c>
      <c r="G90" s="6" t="s">
        <v>791</v>
      </c>
      <c r="H90" s="6" t="s">
        <v>586</v>
      </c>
      <c r="I90" s="6" t="s">
        <v>419</v>
      </c>
      <c r="J90" s="7">
        <v>1066</v>
      </c>
      <c r="K90" s="8">
        <v>0.58499997854232788</v>
      </c>
      <c r="L90" s="9">
        <v>0</v>
      </c>
      <c r="M90" s="6"/>
      <c r="N90" s="6" t="s">
        <v>798</v>
      </c>
      <c r="O90" s="6" t="s">
        <v>799</v>
      </c>
    </row>
    <row r="91" spans="1:15">
      <c r="A91" s="5" t="s">
        <v>791</v>
      </c>
      <c r="B91" s="5" t="s">
        <v>589</v>
      </c>
      <c r="C91" s="5" t="s">
        <v>419</v>
      </c>
      <c r="D91" s="10">
        <v>1066</v>
      </c>
      <c r="E91" s="35" t="s">
        <v>528</v>
      </c>
      <c r="F91" s="35" t="s">
        <v>529</v>
      </c>
      <c r="G91" s="5" t="s">
        <v>791</v>
      </c>
      <c r="H91" s="5" t="s">
        <v>560</v>
      </c>
      <c r="I91" s="5" t="s">
        <v>45</v>
      </c>
      <c r="J91" s="10">
        <v>1071</v>
      </c>
      <c r="K91" s="11">
        <v>5.1960000991821289</v>
      </c>
      <c r="L91" s="12">
        <v>0</v>
      </c>
      <c r="M91" s="5"/>
      <c r="N91" s="5" t="s">
        <v>800</v>
      </c>
      <c r="O91" s="5" t="s">
        <v>801</v>
      </c>
    </row>
    <row r="92" spans="1:15">
      <c r="A92" s="6" t="s">
        <v>802</v>
      </c>
      <c r="B92" s="6" t="s">
        <v>200</v>
      </c>
      <c r="C92" s="6" t="s">
        <v>45</v>
      </c>
      <c r="D92" s="7">
        <v>1071</v>
      </c>
      <c r="E92" s="7" t="s">
        <v>528</v>
      </c>
      <c r="F92" s="7" t="s">
        <v>529</v>
      </c>
      <c r="G92" s="6" t="s">
        <v>802</v>
      </c>
      <c r="H92" s="6" t="s">
        <v>715</v>
      </c>
      <c r="I92" s="6" t="s">
        <v>803</v>
      </c>
      <c r="J92" s="7">
        <v>1074</v>
      </c>
      <c r="K92" s="8">
        <v>3.0499999523162842</v>
      </c>
      <c r="L92" s="9">
        <v>0</v>
      </c>
      <c r="M92" s="6"/>
      <c r="N92" s="6" t="s">
        <v>804</v>
      </c>
      <c r="O92" s="6" t="s">
        <v>805</v>
      </c>
    </row>
    <row r="93" spans="1:15">
      <c r="A93" s="5" t="s">
        <v>802</v>
      </c>
      <c r="B93" s="5" t="s">
        <v>806</v>
      </c>
      <c r="C93" s="5" t="s">
        <v>803</v>
      </c>
      <c r="D93" s="10">
        <v>1074</v>
      </c>
      <c r="E93" s="35" t="s">
        <v>528</v>
      </c>
      <c r="F93" s="35" t="s">
        <v>529</v>
      </c>
      <c r="G93" s="5" t="s">
        <v>802</v>
      </c>
      <c r="H93" s="5" t="s">
        <v>446</v>
      </c>
      <c r="I93" s="5" t="s">
        <v>45</v>
      </c>
      <c r="J93" s="10">
        <v>1077</v>
      </c>
      <c r="K93" s="11">
        <v>2.9440000057220459</v>
      </c>
      <c r="L93" s="12">
        <v>0</v>
      </c>
      <c r="M93" s="5"/>
      <c r="N93" s="5" t="s">
        <v>807</v>
      </c>
      <c r="O93" s="5" t="s">
        <v>808</v>
      </c>
    </row>
    <row r="94" spans="1:15">
      <c r="A94" s="6" t="s">
        <v>802</v>
      </c>
      <c r="B94" s="6" t="s">
        <v>809</v>
      </c>
      <c r="C94" s="6" t="s">
        <v>45</v>
      </c>
      <c r="D94" s="7">
        <v>1077</v>
      </c>
      <c r="E94" s="7" t="s">
        <v>528</v>
      </c>
      <c r="F94" s="7" t="s">
        <v>529</v>
      </c>
      <c r="G94" s="6" t="s">
        <v>802</v>
      </c>
      <c r="H94" s="6" t="s">
        <v>702</v>
      </c>
      <c r="I94" s="6" t="s">
        <v>29</v>
      </c>
      <c r="J94" s="7">
        <v>1078</v>
      </c>
      <c r="K94" s="8">
        <v>1.1399999856948853</v>
      </c>
      <c r="L94" s="9">
        <v>0</v>
      </c>
      <c r="M94" s="6"/>
      <c r="N94" s="6" t="s">
        <v>173</v>
      </c>
      <c r="O94" s="6" t="s">
        <v>810</v>
      </c>
    </row>
    <row r="95" spans="1:15">
      <c r="A95" s="5" t="s">
        <v>802</v>
      </c>
      <c r="B95" s="5" t="s">
        <v>101</v>
      </c>
      <c r="C95" s="5" t="s">
        <v>29</v>
      </c>
      <c r="D95" s="10">
        <v>1078</v>
      </c>
      <c r="E95" s="35" t="s">
        <v>528</v>
      </c>
      <c r="F95" s="35" t="s">
        <v>529</v>
      </c>
      <c r="G95" s="5" t="s">
        <v>802</v>
      </c>
      <c r="H95" s="5" t="s">
        <v>738</v>
      </c>
      <c r="I95" s="5" t="s">
        <v>73</v>
      </c>
      <c r="J95" s="10">
        <v>1080</v>
      </c>
      <c r="K95" s="11">
        <v>1.7269999980926514</v>
      </c>
      <c r="L95" s="12">
        <v>0</v>
      </c>
      <c r="M95" s="5"/>
      <c r="N95" s="5" t="s">
        <v>811</v>
      </c>
      <c r="O95" s="5" t="s">
        <v>812</v>
      </c>
    </row>
    <row r="96" spans="1:15">
      <c r="A96" s="6" t="s">
        <v>802</v>
      </c>
      <c r="B96" s="6" t="s">
        <v>48</v>
      </c>
      <c r="C96" s="6" t="s">
        <v>73</v>
      </c>
      <c r="D96" s="7">
        <v>1080</v>
      </c>
      <c r="E96" s="7" t="s">
        <v>528</v>
      </c>
      <c r="F96" s="7" t="s">
        <v>529</v>
      </c>
      <c r="G96" s="6" t="s">
        <v>802</v>
      </c>
      <c r="H96" s="6" t="s">
        <v>703</v>
      </c>
      <c r="I96" s="6" t="s">
        <v>17</v>
      </c>
      <c r="J96" s="7">
        <v>1083</v>
      </c>
      <c r="K96" s="8">
        <v>2.6719999313354492</v>
      </c>
      <c r="L96" s="9">
        <v>0</v>
      </c>
      <c r="M96" s="6"/>
      <c r="N96" s="6" t="s">
        <v>813</v>
      </c>
      <c r="O96" s="6" t="s">
        <v>814</v>
      </c>
    </row>
    <row r="97" spans="1:15">
      <c r="A97" s="5" t="s">
        <v>802</v>
      </c>
      <c r="B97" s="5" t="s">
        <v>815</v>
      </c>
      <c r="C97" s="5" t="s">
        <v>45</v>
      </c>
      <c r="D97" s="10">
        <v>1083</v>
      </c>
      <c r="E97" s="35" t="s">
        <v>528</v>
      </c>
      <c r="F97" s="35" t="s">
        <v>529</v>
      </c>
      <c r="G97" s="5" t="s">
        <v>802</v>
      </c>
      <c r="H97" s="5" t="s">
        <v>383</v>
      </c>
      <c r="I97" s="5" t="s">
        <v>73</v>
      </c>
      <c r="J97" s="10">
        <v>1085</v>
      </c>
      <c r="K97" s="11">
        <v>2.7279999256134033</v>
      </c>
      <c r="L97" s="12">
        <v>0</v>
      </c>
      <c r="M97" s="5"/>
      <c r="N97" s="5" t="s">
        <v>642</v>
      </c>
      <c r="O97" s="5" t="s">
        <v>816</v>
      </c>
    </row>
    <row r="98" spans="1:15">
      <c r="A98" s="6" t="s">
        <v>802</v>
      </c>
      <c r="B98" s="6" t="s">
        <v>192</v>
      </c>
      <c r="C98" s="6" t="s">
        <v>73</v>
      </c>
      <c r="D98" s="7">
        <v>1085</v>
      </c>
      <c r="E98" s="7" t="s">
        <v>528</v>
      </c>
      <c r="F98" s="7" t="s">
        <v>529</v>
      </c>
      <c r="G98" s="6" t="s">
        <v>802</v>
      </c>
      <c r="H98" s="6" t="s">
        <v>817</v>
      </c>
      <c r="I98" s="6" t="s">
        <v>17</v>
      </c>
      <c r="J98" s="7">
        <v>1088</v>
      </c>
      <c r="K98" s="8">
        <v>2.6649999618530273</v>
      </c>
      <c r="L98" s="9">
        <v>0</v>
      </c>
      <c r="M98" s="6"/>
      <c r="N98" s="6" t="s">
        <v>460</v>
      </c>
      <c r="O98" s="6" t="s">
        <v>818</v>
      </c>
    </row>
    <row r="99" spans="1:15">
      <c r="A99" s="5" t="s">
        <v>802</v>
      </c>
      <c r="B99" s="5" t="s">
        <v>819</v>
      </c>
      <c r="C99" s="5" t="s">
        <v>45</v>
      </c>
      <c r="D99" s="10">
        <v>1088</v>
      </c>
      <c r="E99" s="35" t="s">
        <v>528</v>
      </c>
      <c r="F99" s="35" t="s">
        <v>529</v>
      </c>
      <c r="G99" s="5" t="s">
        <v>802</v>
      </c>
      <c r="H99" s="5" t="s">
        <v>630</v>
      </c>
      <c r="I99" s="5" t="s">
        <v>45</v>
      </c>
      <c r="J99" s="10">
        <v>1091</v>
      </c>
      <c r="K99" s="11">
        <v>3</v>
      </c>
      <c r="L99" s="12">
        <v>0</v>
      </c>
      <c r="M99" s="5"/>
      <c r="N99" s="5" t="s">
        <v>581</v>
      </c>
      <c r="O99" s="5" t="s">
        <v>452</v>
      </c>
    </row>
    <row r="100" spans="1:15">
      <c r="A100" s="6" t="s">
        <v>802</v>
      </c>
      <c r="B100" s="6" t="s">
        <v>513</v>
      </c>
      <c r="C100" s="6" t="s">
        <v>45</v>
      </c>
      <c r="D100" s="7">
        <v>1091</v>
      </c>
      <c r="E100" s="7" t="s">
        <v>528</v>
      </c>
      <c r="F100" s="7" t="s">
        <v>529</v>
      </c>
      <c r="G100" s="6" t="s">
        <v>802</v>
      </c>
      <c r="H100" s="6" t="s">
        <v>533</v>
      </c>
      <c r="I100" s="6" t="s">
        <v>820</v>
      </c>
      <c r="J100" s="7">
        <v>1107</v>
      </c>
      <c r="K100" s="8">
        <v>15.770999908447266</v>
      </c>
      <c r="L100" s="9">
        <v>0</v>
      </c>
      <c r="M100" s="6"/>
      <c r="N100" s="6" t="s">
        <v>821</v>
      </c>
      <c r="O100" s="6" t="s">
        <v>822</v>
      </c>
    </row>
    <row r="101" spans="1:15">
      <c r="A101" s="5" t="s">
        <v>802</v>
      </c>
      <c r="B101" s="5" t="s">
        <v>823</v>
      </c>
      <c r="C101" s="5" t="s">
        <v>820</v>
      </c>
      <c r="D101" s="10">
        <v>1107</v>
      </c>
      <c r="E101" s="35" t="s">
        <v>528</v>
      </c>
      <c r="F101" s="35" t="s">
        <v>529</v>
      </c>
      <c r="G101" s="5" t="s">
        <v>802</v>
      </c>
      <c r="H101" s="5" t="s">
        <v>143</v>
      </c>
      <c r="I101" s="5" t="s">
        <v>683</v>
      </c>
      <c r="J101" s="10">
        <v>1133</v>
      </c>
      <c r="K101" s="11">
        <v>26.211000442504883</v>
      </c>
      <c r="L101" s="12">
        <v>0</v>
      </c>
      <c r="M101" s="5"/>
      <c r="N101" s="5" t="s">
        <v>824</v>
      </c>
      <c r="O101" s="5" t="s">
        <v>825</v>
      </c>
    </row>
    <row r="102" spans="1:15">
      <c r="A102" s="6" t="s">
        <v>802</v>
      </c>
      <c r="B102" s="6" t="s">
        <v>586</v>
      </c>
      <c r="C102" s="6" t="s">
        <v>826</v>
      </c>
      <c r="D102" s="7">
        <v>1133</v>
      </c>
      <c r="E102" s="7" t="s">
        <v>528</v>
      </c>
      <c r="F102" s="7" t="s">
        <v>529</v>
      </c>
      <c r="G102" s="6" t="s">
        <v>802</v>
      </c>
      <c r="H102" s="6" t="s">
        <v>590</v>
      </c>
      <c r="I102" s="6" t="s">
        <v>17</v>
      </c>
      <c r="J102" s="7">
        <v>1142</v>
      </c>
      <c r="K102" s="8">
        <v>9.3050003051757813</v>
      </c>
      <c r="L102" s="9">
        <v>0</v>
      </c>
      <c r="M102" s="6"/>
      <c r="N102" s="6" t="s">
        <v>40</v>
      </c>
      <c r="O102" s="6" t="s">
        <v>827</v>
      </c>
    </row>
    <row r="103" spans="1:15">
      <c r="A103" s="5" t="s">
        <v>828</v>
      </c>
      <c r="B103" s="5" t="s">
        <v>829</v>
      </c>
      <c r="C103" s="5" t="s">
        <v>17</v>
      </c>
      <c r="D103" s="10">
        <v>1142</v>
      </c>
      <c r="E103" s="35" t="s">
        <v>528</v>
      </c>
      <c r="F103" s="35" t="s">
        <v>529</v>
      </c>
      <c r="G103" s="5" t="s">
        <v>828</v>
      </c>
      <c r="H103" s="5" t="s">
        <v>830</v>
      </c>
      <c r="I103" s="5" t="s">
        <v>831</v>
      </c>
      <c r="J103" s="10">
        <v>1148</v>
      </c>
      <c r="K103" s="11">
        <v>5.7189998626708984</v>
      </c>
      <c r="L103" s="12">
        <v>0</v>
      </c>
      <c r="M103" s="5"/>
      <c r="N103" s="5" t="s">
        <v>269</v>
      </c>
      <c r="O103" s="5" t="s">
        <v>832</v>
      </c>
    </row>
    <row r="104" spans="1:15">
      <c r="A104" s="6" t="s">
        <v>828</v>
      </c>
      <c r="B104" s="6" t="s">
        <v>806</v>
      </c>
      <c r="C104" s="6" t="s">
        <v>831</v>
      </c>
      <c r="D104" s="7">
        <v>1148</v>
      </c>
      <c r="E104" s="7" t="s">
        <v>528</v>
      </c>
      <c r="F104" s="7" t="s">
        <v>529</v>
      </c>
      <c r="G104" s="6" t="s">
        <v>828</v>
      </c>
      <c r="H104" s="6" t="s">
        <v>833</v>
      </c>
      <c r="I104" s="6" t="s">
        <v>17</v>
      </c>
      <c r="J104" s="7">
        <v>1153</v>
      </c>
      <c r="K104" s="8">
        <v>5.2859997749328613</v>
      </c>
      <c r="L104" s="9">
        <v>0</v>
      </c>
      <c r="M104" s="6"/>
      <c r="N104" s="6" t="s">
        <v>834</v>
      </c>
      <c r="O104" s="6" t="s">
        <v>835</v>
      </c>
    </row>
    <row r="105" spans="1:15">
      <c r="A105" s="5" t="s">
        <v>828</v>
      </c>
      <c r="B105" s="5" t="s">
        <v>151</v>
      </c>
      <c r="C105" s="5" t="s">
        <v>17</v>
      </c>
      <c r="D105" s="10">
        <v>1153</v>
      </c>
      <c r="E105" s="35" t="s">
        <v>528</v>
      </c>
      <c r="F105" s="35" t="s">
        <v>529</v>
      </c>
      <c r="G105" s="5" t="s">
        <v>828</v>
      </c>
      <c r="H105" s="5" t="s">
        <v>63</v>
      </c>
      <c r="I105" s="5" t="s">
        <v>548</v>
      </c>
      <c r="J105" s="10">
        <v>1159</v>
      </c>
      <c r="K105" s="11">
        <v>5.9010000228881836</v>
      </c>
      <c r="L105" s="12">
        <v>0</v>
      </c>
      <c r="M105" s="5"/>
      <c r="N105" s="5" t="s">
        <v>836</v>
      </c>
      <c r="O105" s="5" t="s">
        <v>656</v>
      </c>
    </row>
    <row r="106" spans="1:15">
      <c r="A106" s="6" t="s">
        <v>828</v>
      </c>
      <c r="B106" s="6" t="s">
        <v>837</v>
      </c>
      <c r="C106" s="6" t="s">
        <v>548</v>
      </c>
      <c r="D106" s="7">
        <v>1159</v>
      </c>
      <c r="E106" s="7" t="s">
        <v>528</v>
      </c>
      <c r="F106" s="7" t="s">
        <v>529</v>
      </c>
      <c r="G106" s="6" t="s">
        <v>828</v>
      </c>
      <c r="H106" s="6" t="s">
        <v>68</v>
      </c>
      <c r="I106" s="6" t="s">
        <v>17</v>
      </c>
      <c r="J106" s="7">
        <v>1165</v>
      </c>
      <c r="K106" s="8">
        <v>5.4780001640319824</v>
      </c>
      <c r="L106" s="9">
        <v>0</v>
      </c>
      <c r="M106" s="6"/>
      <c r="N106" s="6" t="s">
        <v>779</v>
      </c>
      <c r="O106" s="6" t="s">
        <v>838</v>
      </c>
    </row>
    <row r="107" spans="1:15">
      <c r="A107" s="5" t="s">
        <v>839</v>
      </c>
      <c r="B107" s="5" t="s">
        <v>118</v>
      </c>
      <c r="C107" s="5" t="s">
        <v>17</v>
      </c>
      <c r="D107" s="10">
        <v>1165</v>
      </c>
      <c r="E107" s="35" t="s">
        <v>528</v>
      </c>
      <c r="F107" s="35" t="s">
        <v>529</v>
      </c>
      <c r="G107" s="5" t="s">
        <v>839</v>
      </c>
      <c r="H107" s="5" t="s">
        <v>64</v>
      </c>
      <c r="I107" s="5" t="s">
        <v>820</v>
      </c>
      <c r="J107" s="10">
        <v>1181</v>
      </c>
      <c r="K107" s="11">
        <v>15.807000160217285</v>
      </c>
      <c r="L107" s="12">
        <v>0</v>
      </c>
      <c r="M107" s="5"/>
      <c r="N107" s="5" t="s">
        <v>716</v>
      </c>
      <c r="O107" s="5" t="s">
        <v>840</v>
      </c>
    </row>
    <row r="108" spans="1:15">
      <c r="A108" s="6" t="s">
        <v>839</v>
      </c>
      <c r="B108" s="6" t="s">
        <v>841</v>
      </c>
      <c r="C108" s="6" t="s">
        <v>820</v>
      </c>
      <c r="D108" s="7">
        <v>1181</v>
      </c>
      <c r="E108" s="7" t="s">
        <v>528</v>
      </c>
      <c r="F108" s="7" t="s">
        <v>529</v>
      </c>
      <c r="G108" s="6" t="s">
        <v>839</v>
      </c>
      <c r="H108" s="6" t="s">
        <v>76</v>
      </c>
      <c r="I108" s="6" t="s">
        <v>17</v>
      </c>
      <c r="J108" s="7">
        <v>1196</v>
      </c>
      <c r="K108" s="8">
        <v>15.670000076293945</v>
      </c>
      <c r="L108" s="9">
        <v>0</v>
      </c>
      <c r="M108" s="6"/>
      <c r="N108" s="6" t="s">
        <v>842</v>
      </c>
      <c r="O108" s="6" t="s">
        <v>843</v>
      </c>
    </row>
    <row r="109" spans="1:15">
      <c r="A109" s="5" t="s">
        <v>844</v>
      </c>
      <c r="B109" s="5" t="s">
        <v>538</v>
      </c>
      <c r="C109" s="5" t="s">
        <v>17</v>
      </c>
      <c r="D109" s="10">
        <v>1196</v>
      </c>
      <c r="E109" s="35" t="s">
        <v>528</v>
      </c>
      <c r="F109" s="35" t="s">
        <v>529</v>
      </c>
      <c r="G109" s="5" t="s">
        <v>844</v>
      </c>
      <c r="H109" s="5" t="s">
        <v>845</v>
      </c>
      <c r="I109" s="5" t="s">
        <v>45</v>
      </c>
      <c r="J109" s="10">
        <v>1207</v>
      </c>
      <c r="K109" s="11">
        <v>10.85200023651123</v>
      </c>
      <c r="L109" s="12">
        <v>0</v>
      </c>
      <c r="M109" s="5"/>
      <c r="N109" s="5" t="s">
        <v>846</v>
      </c>
      <c r="O109" s="5" t="s">
        <v>847</v>
      </c>
    </row>
    <row r="110" spans="1:15">
      <c r="A110" s="6" t="s">
        <v>848</v>
      </c>
      <c r="B110" s="6" t="s">
        <v>159</v>
      </c>
      <c r="C110" s="6" t="s">
        <v>45</v>
      </c>
      <c r="D110" s="7">
        <v>1207</v>
      </c>
      <c r="E110" s="7" t="s">
        <v>528</v>
      </c>
      <c r="F110" s="7" t="s">
        <v>529</v>
      </c>
      <c r="G110" s="6" t="s">
        <v>848</v>
      </c>
      <c r="H110" s="6" t="s">
        <v>630</v>
      </c>
      <c r="I110" s="6" t="s">
        <v>849</v>
      </c>
      <c r="J110" s="7">
        <v>1219</v>
      </c>
      <c r="K110" s="8">
        <v>11.560999870300293</v>
      </c>
      <c r="L110" s="9">
        <v>0</v>
      </c>
      <c r="M110" s="6"/>
      <c r="N110" s="6" t="s">
        <v>850</v>
      </c>
      <c r="O110" s="6" t="s">
        <v>553</v>
      </c>
    </row>
    <row r="111" spans="1:15">
      <c r="A111" s="5" t="s">
        <v>848</v>
      </c>
      <c r="B111" s="5" t="s">
        <v>851</v>
      </c>
      <c r="C111" s="5" t="s">
        <v>849</v>
      </c>
      <c r="D111" s="10">
        <v>1219</v>
      </c>
      <c r="E111" s="35" t="s">
        <v>528</v>
      </c>
      <c r="F111" s="35" t="s">
        <v>529</v>
      </c>
      <c r="G111" s="5" t="s">
        <v>848</v>
      </c>
      <c r="H111" s="5" t="s">
        <v>852</v>
      </c>
      <c r="I111" s="5" t="s">
        <v>17</v>
      </c>
      <c r="J111" s="10">
        <v>1230</v>
      </c>
      <c r="K111" s="11">
        <v>11.407999992370605</v>
      </c>
      <c r="L111" s="12">
        <v>0</v>
      </c>
      <c r="M111" s="5"/>
      <c r="N111" s="5" t="s">
        <v>853</v>
      </c>
      <c r="O111" s="5" t="s">
        <v>398</v>
      </c>
    </row>
    <row r="112" spans="1:15">
      <c r="A112" s="6" t="s">
        <v>848</v>
      </c>
      <c r="B112" s="6" t="s">
        <v>763</v>
      </c>
      <c r="C112" s="6" t="s">
        <v>17</v>
      </c>
      <c r="D112" s="7">
        <v>1230</v>
      </c>
      <c r="E112" s="7" t="s">
        <v>528</v>
      </c>
      <c r="F112" s="7" t="s">
        <v>529</v>
      </c>
      <c r="G112" s="6" t="s">
        <v>848</v>
      </c>
      <c r="H112" s="6" t="s">
        <v>781</v>
      </c>
      <c r="I112" s="6" t="s">
        <v>160</v>
      </c>
      <c r="J112" s="7">
        <v>1232</v>
      </c>
      <c r="K112" s="8">
        <v>2.002000093460083</v>
      </c>
      <c r="L112" s="9">
        <v>0</v>
      </c>
      <c r="M112" s="6"/>
      <c r="N112" s="6" t="s">
        <v>637</v>
      </c>
      <c r="O112" s="6" t="s">
        <v>854</v>
      </c>
    </row>
    <row r="113" spans="1:15">
      <c r="A113" s="5" t="s">
        <v>848</v>
      </c>
      <c r="B113" s="5" t="s">
        <v>403</v>
      </c>
      <c r="C113" s="5" t="s">
        <v>160</v>
      </c>
      <c r="D113" s="10">
        <v>1232</v>
      </c>
      <c r="E113" s="35" t="s">
        <v>528</v>
      </c>
      <c r="F113" s="35" t="s">
        <v>529</v>
      </c>
      <c r="G113" s="5" t="s">
        <v>848</v>
      </c>
      <c r="H113" s="5" t="s">
        <v>143</v>
      </c>
      <c r="I113" s="5" t="s">
        <v>45</v>
      </c>
      <c r="J113" s="10">
        <v>1234</v>
      </c>
      <c r="K113" s="11">
        <v>2.0550000667572021</v>
      </c>
      <c r="L113" s="12">
        <v>0</v>
      </c>
      <c r="M113" s="5"/>
      <c r="N113" s="5" t="s">
        <v>855</v>
      </c>
      <c r="O113" s="5" t="s">
        <v>856</v>
      </c>
    </row>
    <row r="114" spans="1:15">
      <c r="A114" s="6" t="s">
        <v>857</v>
      </c>
      <c r="B114" s="6" t="s">
        <v>226</v>
      </c>
      <c r="C114" s="6" t="s">
        <v>45</v>
      </c>
      <c r="D114" s="7">
        <v>1234</v>
      </c>
      <c r="E114" s="7" t="s">
        <v>528</v>
      </c>
      <c r="F114" s="7" t="s">
        <v>529</v>
      </c>
      <c r="G114" s="6" t="s">
        <v>857</v>
      </c>
      <c r="H114" s="6" t="s">
        <v>858</v>
      </c>
      <c r="I114" s="6" t="s">
        <v>859</v>
      </c>
      <c r="J114" s="7">
        <v>1245</v>
      </c>
      <c r="K114" s="8">
        <v>11.279000282287598</v>
      </c>
      <c r="L114" s="9">
        <v>0</v>
      </c>
      <c r="M114" s="6"/>
      <c r="N114" s="6" t="s">
        <v>860</v>
      </c>
      <c r="O114" s="6" t="s">
        <v>861</v>
      </c>
    </row>
    <row r="115" spans="1:15">
      <c r="A115" s="5" t="s">
        <v>857</v>
      </c>
      <c r="B115" s="5" t="s">
        <v>862</v>
      </c>
      <c r="C115" s="5" t="s">
        <v>859</v>
      </c>
      <c r="D115" s="10">
        <v>1245</v>
      </c>
      <c r="E115" s="35" t="s">
        <v>528</v>
      </c>
      <c r="F115" s="35" t="s">
        <v>529</v>
      </c>
      <c r="G115" s="5" t="s">
        <v>857</v>
      </c>
      <c r="H115" s="5" t="s">
        <v>600</v>
      </c>
      <c r="I115" s="5" t="s">
        <v>45</v>
      </c>
      <c r="J115" s="10">
        <v>1257</v>
      </c>
      <c r="K115" s="11">
        <v>11.711000442504883</v>
      </c>
      <c r="L115" s="12">
        <v>0</v>
      </c>
      <c r="M115" s="5"/>
      <c r="N115" s="5" t="s">
        <v>863</v>
      </c>
      <c r="O115" s="5" t="s">
        <v>864</v>
      </c>
    </row>
    <row r="116" spans="1:15">
      <c r="A116" s="6" t="s">
        <v>857</v>
      </c>
      <c r="B116" s="6" t="s">
        <v>250</v>
      </c>
      <c r="C116" s="6" t="s">
        <v>45</v>
      </c>
      <c r="D116" s="7">
        <v>1257</v>
      </c>
      <c r="E116" s="7" t="s">
        <v>528</v>
      </c>
      <c r="F116" s="7" t="s">
        <v>529</v>
      </c>
      <c r="G116" s="6" t="s">
        <v>857</v>
      </c>
      <c r="H116" s="6" t="s">
        <v>28</v>
      </c>
      <c r="I116" s="6" t="s">
        <v>384</v>
      </c>
      <c r="J116" s="7">
        <v>1258</v>
      </c>
      <c r="K116" s="8">
        <v>1.0970000028610229</v>
      </c>
      <c r="L116" s="9">
        <v>0</v>
      </c>
      <c r="M116" s="6"/>
      <c r="N116" s="6" t="s">
        <v>865</v>
      </c>
      <c r="O116" s="6" t="s">
        <v>866</v>
      </c>
    </row>
    <row r="117" spans="1:15">
      <c r="A117" s="5" t="s">
        <v>857</v>
      </c>
      <c r="B117" s="5" t="s">
        <v>359</v>
      </c>
      <c r="C117" s="5" t="s">
        <v>384</v>
      </c>
      <c r="D117" s="10">
        <v>1258</v>
      </c>
      <c r="E117" s="35" t="s">
        <v>528</v>
      </c>
      <c r="F117" s="35" t="s">
        <v>529</v>
      </c>
      <c r="G117" s="5" t="s">
        <v>857</v>
      </c>
      <c r="H117" s="5" t="s">
        <v>867</v>
      </c>
      <c r="I117" s="5" t="s">
        <v>17</v>
      </c>
      <c r="J117" s="10">
        <v>1259</v>
      </c>
      <c r="K117" s="11">
        <v>1.1419999599456787</v>
      </c>
      <c r="L117" s="12">
        <v>0</v>
      </c>
      <c r="M117" s="5"/>
      <c r="N117" s="5" t="s">
        <v>868</v>
      </c>
      <c r="O117" s="5" t="s">
        <v>869</v>
      </c>
    </row>
    <row r="118" spans="1:15">
      <c r="A118" s="6" t="s">
        <v>870</v>
      </c>
      <c r="B118" s="6" t="s">
        <v>871</v>
      </c>
      <c r="C118" s="6" t="s">
        <v>17</v>
      </c>
      <c r="D118" s="7">
        <v>1259</v>
      </c>
      <c r="E118" s="7" t="s">
        <v>528</v>
      </c>
      <c r="F118" s="7" t="s">
        <v>529</v>
      </c>
      <c r="G118" s="6" t="s">
        <v>870</v>
      </c>
      <c r="H118" s="6" t="s">
        <v>872</v>
      </c>
      <c r="I118" s="6" t="s">
        <v>820</v>
      </c>
      <c r="J118" s="7">
        <v>1276</v>
      </c>
      <c r="K118" s="8">
        <v>17.017999649047852</v>
      </c>
      <c r="L118" s="9">
        <v>0</v>
      </c>
      <c r="M118" s="6"/>
      <c r="N118" s="6" t="s">
        <v>873</v>
      </c>
      <c r="O118" s="6" t="s">
        <v>874</v>
      </c>
    </row>
    <row r="119" spans="1:15">
      <c r="A119" s="5" t="s">
        <v>870</v>
      </c>
      <c r="B119" s="5" t="s">
        <v>213</v>
      </c>
      <c r="C119" s="5" t="s">
        <v>820</v>
      </c>
      <c r="D119" s="10">
        <v>1276</v>
      </c>
      <c r="E119" s="35" t="s">
        <v>528</v>
      </c>
      <c r="F119" s="35" t="s">
        <v>529</v>
      </c>
      <c r="G119" s="5" t="s">
        <v>870</v>
      </c>
      <c r="H119" s="5" t="s">
        <v>875</v>
      </c>
      <c r="I119" s="5" t="s">
        <v>17</v>
      </c>
      <c r="J119" s="10">
        <v>1293</v>
      </c>
      <c r="K119" s="11">
        <v>16.972999572753906</v>
      </c>
      <c r="L119" s="12">
        <v>0</v>
      </c>
      <c r="M119" s="5"/>
      <c r="N119" s="5" t="s">
        <v>876</v>
      </c>
      <c r="O119" s="5" t="s">
        <v>877</v>
      </c>
    </row>
    <row r="120" spans="1:15">
      <c r="A120" s="6" t="s">
        <v>878</v>
      </c>
      <c r="B120" s="6" t="s">
        <v>879</v>
      </c>
      <c r="C120" s="6" t="s">
        <v>17</v>
      </c>
      <c r="D120" s="7">
        <v>1293</v>
      </c>
      <c r="E120" s="7" t="s">
        <v>528</v>
      </c>
      <c r="F120" s="7" t="s">
        <v>529</v>
      </c>
      <c r="G120" s="6" t="s">
        <v>878</v>
      </c>
      <c r="H120" s="6" t="s">
        <v>27</v>
      </c>
      <c r="I120" s="6" t="s">
        <v>73</v>
      </c>
      <c r="J120" s="7">
        <v>1296</v>
      </c>
      <c r="K120" s="8">
        <v>2.6449999809265137</v>
      </c>
      <c r="L120" s="9">
        <v>0</v>
      </c>
      <c r="M120" s="6"/>
      <c r="N120" s="6" t="s">
        <v>880</v>
      </c>
      <c r="O120" s="6" t="s">
        <v>881</v>
      </c>
    </row>
    <row r="121" spans="1:15">
      <c r="A121" s="5" t="s">
        <v>878</v>
      </c>
      <c r="B121" s="5" t="s">
        <v>532</v>
      </c>
      <c r="C121" s="5" t="s">
        <v>73</v>
      </c>
      <c r="D121" s="10">
        <v>1296</v>
      </c>
      <c r="E121" s="35" t="s">
        <v>528</v>
      </c>
      <c r="F121" s="35" t="s">
        <v>529</v>
      </c>
      <c r="G121" s="5" t="s">
        <v>878</v>
      </c>
      <c r="H121" s="5" t="s">
        <v>882</v>
      </c>
      <c r="I121" s="5" t="s">
        <v>29</v>
      </c>
      <c r="J121" s="10">
        <v>1298</v>
      </c>
      <c r="K121" s="11">
        <v>1.6549999713897705</v>
      </c>
      <c r="L121" s="12">
        <v>0</v>
      </c>
      <c r="M121" s="5"/>
      <c r="N121" s="5" t="s">
        <v>883</v>
      </c>
      <c r="O121" s="5" t="s">
        <v>884</v>
      </c>
    </row>
    <row r="122" spans="1:15">
      <c r="A122" s="6" t="s">
        <v>878</v>
      </c>
      <c r="B122" s="6" t="s">
        <v>851</v>
      </c>
      <c r="C122" s="6" t="s">
        <v>29</v>
      </c>
      <c r="D122" s="7">
        <v>1298</v>
      </c>
      <c r="E122" s="7" t="s">
        <v>528</v>
      </c>
      <c r="F122" s="7" t="s">
        <v>529</v>
      </c>
      <c r="G122" s="6" t="s">
        <v>878</v>
      </c>
      <c r="H122" s="6" t="s">
        <v>885</v>
      </c>
      <c r="I122" s="6" t="s">
        <v>17</v>
      </c>
      <c r="J122" s="7">
        <v>1299</v>
      </c>
      <c r="K122" s="8">
        <v>1.2200000286102295</v>
      </c>
      <c r="L122" s="9">
        <v>0</v>
      </c>
      <c r="M122" s="6"/>
      <c r="N122" s="6" t="s">
        <v>886</v>
      </c>
      <c r="O122" s="6" t="s">
        <v>887</v>
      </c>
    </row>
    <row r="123" spans="1:15">
      <c r="A123" s="5" t="s">
        <v>888</v>
      </c>
      <c r="B123" s="5" t="s">
        <v>889</v>
      </c>
      <c r="C123" s="5" t="s">
        <v>17</v>
      </c>
      <c r="D123" s="10">
        <v>1299</v>
      </c>
      <c r="E123" s="35" t="s">
        <v>528</v>
      </c>
      <c r="F123" s="35" t="s">
        <v>529</v>
      </c>
      <c r="G123" s="5" t="s">
        <v>888</v>
      </c>
      <c r="H123" s="5" t="s">
        <v>806</v>
      </c>
      <c r="I123" s="5" t="s">
        <v>820</v>
      </c>
      <c r="J123" s="10">
        <v>1315</v>
      </c>
      <c r="K123" s="11">
        <v>15.718999862670898</v>
      </c>
      <c r="L123" s="12">
        <v>0</v>
      </c>
      <c r="M123" s="5"/>
      <c r="N123" s="5" t="s">
        <v>704</v>
      </c>
      <c r="O123" s="5" t="s">
        <v>406</v>
      </c>
    </row>
    <row r="124" spans="1:15">
      <c r="A124" s="6" t="s">
        <v>888</v>
      </c>
      <c r="B124" s="6" t="s">
        <v>890</v>
      </c>
      <c r="C124" s="6" t="s">
        <v>820</v>
      </c>
      <c r="D124" s="7">
        <v>1315</v>
      </c>
      <c r="E124" s="7" t="s">
        <v>528</v>
      </c>
      <c r="F124" s="7" t="s">
        <v>529</v>
      </c>
      <c r="G124" s="6" t="s">
        <v>888</v>
      </c>
      <c r="H124" s="6" t="s">
        <v>437</v>
      </c>
      <c r="I124" s="6" t="s">
        <v>17</v>
      </c>
      <c r="J124" s="7">
        <v>1333</v>
      </c>
      <c r="K124" s="8">
        <v>18.152999877929688</v>
      </c>
      <c r="L124" s="9">
        <v>0</v>
      </c>
      <c r="M124" s="6"/>
      <c r="N124" s="6" t="s">
        <v>891</v>
      </c>
      <c r="O124" s="6" t="s">
        <v>892</v>
      </c>
    </row>
    <row r="125" spans="1:15">
      <c r="A125" s="5" t="s">
        <v>888</v>
      </c>
      <c r="B125" s="5" t="s">
        <v>655</v>
      </c>
      <c r="C125" s="5" t="s">
        <v>17</v>
      </c>
      <c r="D125" s="10">
        <v>1333</v>
      </c>
      <c r="E125" s="35" t="s">
        <v>528</v>
      </c>
      <c r="F125" s="35" t="s">
        <v>529</v>
      </c>
      <c r="G125" s="5" t="s">
        <v>888</v>
      </c>
      <c r="H125" s="5" t="s">
        <v>823</v>
      </c>
      <c r="I125" s="5" t="s">
        <v>85</v>
      </c>
      <c r="J125" s="10">
        <v>1338</v>
      </c>
      <c r="K125" s="11">
        <v>5.6329998970031738</v>
      </c>
      <c r="L125" s="12">
        <v>0</v>
      </c>
      <c r="M125" s="5"/>
      <c r="N125" s="5" t="s">
        <v>893</v>
      </c>
      <c r="O125" s="5" t="s">
        <v>412</v>
      </c>
    </row>
    <row r="126" spans="1:15">
      <c r="A126" s="6" t="s">
        <v>888</v>
      </c>
      <c r="B126" s="6" t="s">
        <v>894</v>
      </c>
      <c r="C126" s="6" t="s">
        <v>85</v>
      </c>
      <c r="D126" s="7">
        <v>1338</v>
      </c>
      <c r="E126" s="7" t="s">
        <v>528</v>
      </c>
      <c r="F126" s="7" t="s">
        <v>529</v>
      </c>
      <c r="G126" s="6" t="s">
        <v>888</v>
      </c>
      <c r="H126" s="6" t="s">
        <v>135</v>
      </c>
      <c r="I126" s="6" t="s">
        <v>45</v>
      </c>
      <c r="J126" s="7">
        <v>1344</v>
      </c>
      <c r="K126" s="8">
        <v>5.250999927520752</v>
      </c>
      <c r="L126" s="9">
        <v>0</v>
      </c>
      <c r="M126" s="6"/>
      <c r="N126" s="6" t="s">
        <v>895</v>
      </c>
      <c r="O126" s="6" t="s">
        <v>896</v>
      </c>
    </row>
    <row r="127" spans="1:15">
      <c r="A127" s="5" t="s">
        <v>897</v>
      </c>
      <c r="B127" s="5" t="s">
        <v>22</v>
      </c>
      <c r="C127" s="5" t="s">
        <v>45</v>
      </c>
      <c r="D127" s="10">
        <v>1344</v>
      </c>
      <c r="E127" s="35" t="s">
        <v>528</v>
      </c>
      <c r="F127" s="35" t="s">
        <v>529</v>
      </c>
      <c r="G127" s="5" t="s">
        <v>897</v>
      </c>
      <c r="H127" s="5" t="s">
        <v>898</v>
      </c>
      <c r="I127" s="5" t="s">
        <v>292</v>
      </c>
      <c r="J127" s="10">
        <v>1346</v>
      </c>
      <c r="K127" s="11">
        <v>2.0690000057220459</v>
      </c>
      <c r="L127" s="12">
        <v>0</v>
      </c>
      <c r="M127" s="5"/>
      <c r="N127" s="5" t="s">
        <v>189</v>
      </c>
      <c r="O127" s="5" t="s">
        <v>899</v>
      </c>
    </row>
    <row r="128" spans="1:15">
      <c r="A128" s="6" t="s">
        <v>897</v>
      </c>
      <c r="B128" s="6" t="s">
        <v>122</v>
      </c>
      <c r="C128" s="6" t="s">
        <v>900</v>
      </c>
      <c r="D128" s="7">
        <v>0</v>
      </c>
      <c r="E128" s="7" t="s">
        <v>528</v>
      </c>
      <c r="F128" s="7" t="s">
        <v>529</v>
      </c>
      <c r="G128" s="6" t="s">
        <v>897</v>
      </c>
      <c r="H128" s="6" t="s">
        <v>239</v>
      </c>
      <c r="I128" s="6" t="s">
        <v>45</v>
      </c>
      <c r="J128" s="7">
        <v>1348</v>
      </c>
      <c r="K128" s="8">
        <v>1.9149999618530273</v>
      </c>
      <c r="L128" s="9">
        <v>0</v>
      </c>
      <c r="M128" s="6"/>
      <c r="N128" s="6" t="s">
        <v>901</v>
      </c>
      <c r="O128" s="6" t="s">
        <v>902</v>
      </c>
    </row>
    <row r="129" spans="1:15">
      <c r="A129" s="5" t="s">
        <v>903</v>
      </c>
      <c r="B129" s="5" t="s">
        <v>738</v>
      </c>
      <c r="C129" s="5" t="s">
        <v>45</v>
      </c>
      <c r="D129" s="10">
        <v>1348</v>
      </c>
      <c r="E129" s="35" t="s">
        <v>528</v>
      </c>
      <c r="F129" s="35" t="s">
        <v>529</v>
      </c>
      <c r="G129" s="5" t="s">
        <v>903</v>
      </c>
      <c r="H129" s="5" t="s">
        <v>382</v>
      </c>
      <c r="I129" s="5" t="s">
        <v>904</v>
      </c>
      <c r="J129" s="10">
        <v>1360</v>
      </c>
      <c r="K129" s="11">
        <v>12.508000373840332</v>
      </c>
      <c r="L129" s="12">
        <v>0</v>
      </c>
      <c r="M129" s="5"/>
      <c r="N129" s="5" t="s">
        <v>352</v>
      </c>
      <c r="O129" s="5" t="s">
        <v>507</v>
      </c>
    </row>
    <row r="130" spans="1:15">
      <c r="A130" s="6" t="s">
        <v>903</v>
      </c>
      <c r="B130" s="6" t="s">
        <v>383</v>
      </c>
      <c r="C130" s="6" t="s">
        <v>904</v>
      </c>
      <c r="D130" s="7">
        <v>1360</v>
      </c>
      <c r="E130" s="7" t="s">
        <v>528</v>
      </c>
      <c r="F130" s="7" t="s">
        <v>529</v>
      </c>
      <c r="G130" s="6" t="s">
        <v>903</v>
      </c>
      <c r="H130" s="6" t="s">
        <v>171</v>
      </c>
      <c r="I130" s="6" t="s">
        <v>905</v>
      </c>
      <c r="J130" s="7">
        <v>1362</v>
      </c>
      <c r="K130" s="8">
        <v>1.7269999980926514</v>
      </c>
      <c r="L130" s="9">
        <v>0</v>
      </c>
      <c r="M130" s="6"/>
      <c r="N130" s="6" t="s">
        <v>886</v>
      </c>
      <c r="O130" s="6" t="s">
        <v>278</v>
      </c>
    </row>
    <row r="131" spans="1:15">
      <c r="A131" s="5" t="s">
        <v>903</v>
      </c>
      <c r="B131" s="5" t="s">
        <v>68</v>
      </c>
      <c r="C131" s="5" t="s">
        <v>905</v>
      </c>
      <c r="D131" s="10">
        <v>1362</v>
      </c>
      <c r="E131" s="35" t="s">
        <v>528</v>
      </c>
      <c r="F131" s="35" t="s">
        <v>529</v>
      </c>
      <c r="G131" s="5" t="s">
        <v>903</v>
      </c>
      <c r="H131" s="5" t="s">
        <v>271</v>
      </c>
      <c r="I131" s="5" t="s">
        <v>906</v>
      </c>
      <c r="J131" s="10">
        <v>1375</v>
      </c>
      <c r="K131" s="11">
        <v>12.916000366210938</v>
      </c>
      <c r="L131" s="12">
        <v>0</v>
      </c>
      <c r="M131" s="5"/>
      <c r="N131" s="5" t="s">
        <v>907</v>
      </c>
      <c r="O131" s="5" t="s">
        <v>78</v>
      </c>
    </row>
    <row r="132" spans="1:15">
      <c r="A132" s="6" t="s">
        <v>903</v>
      </c>
      <c r="B132" s="6" t="s">
        <v>271</v>
      </c>
      <c r="C132" s="6" t="s">
        <v>908</v>
      </c>
      <c r="D132" s="7">
        <v>1375</v>
      </c>
      <c r="E132" s="7" t="s">
        <v>528</v>
      </c>
      <c r="F132" s="7" t="s">
        <v>529</v>
      </c>
      <c r="G132" s="6" t="s">
        <v>903</v>
      </c>
      <c r="H132" s="6" t="s">
        <v>909</v>
      </c>
      <c r="I132" s="6" t="s">
        <v>17</v>
      </c>
      <c r="J132" s="7">
        <v>1375</v>
      </c>
      <c r="K132" s="8">
        <v>0.51800000667572021</v>
      </c>
      <c r="L132" s="9">
        <v>0</v>
      </c>
      <c r="M132" s="6"/>
      <c r="N132" s="6" t="s">
        <v>910</v>
      </c>
      <c r="O132" s="6" t="s">
        <v>911</v>
      </c>
    </row>
    <row r="133" spans="1:15">
      <c r="A133" s="5" t="s">
        <v>912</v>
      </c>
      <c r="B133" s="5" t="s">
        <v>49</v>
      </c>
      <c r="C133" s="5" t="s">
        <v>17</v>
      </c>
      <c r="D133" s="10">
        <v>1375</v>
      </c>
      <c r="E133" s="35" t="s">
        <v>528</v>
      </c>
      <c r="F133" s="35" t="s">
        <v>529</v>
      </c>
      <c r="G133" s="5" t="s">
        <v>912</v>
      </c>
      <c r="H133" s="5" t="s">
        <v>456</v>
      </c>
      <c r="I133" s="5" t="s">
        <v>913</v>
      </c>
      <c r="J133" s="10">
        <v>1382</v>
      </c>
      <c r="K133" s="11">
        <v>6.8920001983642578</v>
      </c>
      <c r="L133" s="12">
        <v>0</v>
      </c>
      <c r="M133" s="5"/>
      <c r="N133" s="5" t="s">
        <v>914</v>
      </c>
      <c r="O133" s="5" t="s">
        <v>310</v>
      </c>
    </row>
    <row r="134" spans="1:15">
      <c r="A134" s="6" t="s">
        <v>912</v>
      </c>
      <c r="B134" s="6" t="s">
        <v>638</v>
      </c>
      <c r="C134" s="6" t="s">
        <v>913</v>
      </c>
      <c r="D134" s="7">
        <v>1382</v>
      </c>
      <c r="E134" s="7" t="s">
        <v>528</v>
      </c>
      <c r="F134" s="7" t="s">
        <v>529</v>
      </c>
      <c r="G134" s="6" t="s">
        <v>912</v>
      </c>
      <c r="H134" s="6" t="s">
        <v>155</v>
      </c>
      <c r="I134" s="6" t="s">
        <v>915</v>
      </c>
      <c r="J134" s="7">
        <v>1384</v>
      </c>
      <c r="K134" s="8">
        <v>1.8960000276565552</v>
      </c>
      <c r="L134" s="9">
        <v>0</v>
      </c>
      <c r="M134" s="6"/>
      <c r="N134" s="6" t="s">
        <v>411</v>
      </c>
      <c r="O134" s="6" t="s">
        <v>916</v>
      </c>
    </row>
    <row r="135" spans="1:15">
      <c r="A135" s="5" t="s">
        <v>912</v>
      </c>
      <c r="B135" s="5" t="s">
        <v>196</v>
      </c>
      <c r="C135" s="5" t="s">
        <v>915</v>
      </c>
      <c r="D135" s="10">
        <v>1384</v>
      </c>
      <c r="E135" s="35" t="s">
        <v>528</v>
      </c>
      <c r="F135" s="35" t="s">
        <v>529</v>
      </c>
      <c r="G135" s="5" t="s">
        <v>912</v>
      </c>
      <c r="H135" s="5" t="s">
        <v>126</v>
      </c>
      <c r="I135" s="5" t="s">
        <v>45</v>
      </c>
      <c r="J135" s="10">
        <v>1390</v>
      </c>
      <c r="K135" s="11">
        <v>5.9850001335144043</v>
      </c>
      <c r="L135" s="12">
        <v>0</v>
      </c>
      <c r="M135" s="5"/>
      <c r="N135" s="5" t="s">
        <v>917</v>
      </c>
      <c r="O135" s="5" t="s">
        <v>918</v>
      </c>
    </row>
    <row r="136" spans="1:15">
      <c r="A136" s="6" t="s">
        <v>919</v>
      </c>
      <c r="B136" s="6" t="s">
        <v>615</v>
      </c>
      <c r="C136" s="6" t="s">
        <v>920</v>
      </c>
      <c r="D136" s="7">
        <v>1390</v>
      </c>
      <c r="E136" s="7" t="s">
        <v>528</v>
      </c>
      <c r="F136" s="7" t="s">
        <v>529</v>
      </c>
      <c r="G136" s="6" t="s">
        <v>919</v>
      </c>
      <c r="H136" s="6" t="s">
        <v>921</v>
      </c>
      <c r="I136" s="6" t="s">
        <v>85</v>
      </c>
      <c r="J136" s="7">
        <v>1396</v>
      </c>
      <c r="K136" s="8">
        <v>5.5419998168945313</v>
      </c>
      <c r="L136" s="9">
        <v>0</v>
      </c>
      <c r="M136" s="6"/>
      <c r="N136" s="6" t="s">
        <v>922</v>
      </c>
      <c r="O136" s="6" t="s">
        <v>923</v>
      </c>
    </row>
    <row r="137" spans="1:15">
      <c r="A137" s="5" t="s">
        <v>919</v>
      </c>
      <c r="B137" s="5" t="s">
        <v>924</v>
      </c>
      <c r="C137" s="5" t="s">
        <v>85</v>
      </c>
      <c r="D137" s="10">
        <v>1396</v>
      </c>
      <c r="E137" s="35" t="s">
        <v>528</v>
      </c>
      <c r="F137" s="35" t="s">
        <v>529</v>
      </c>
      <c r="G137" s="5" t="s">
        <v>919</v>
      </c>
      <c r="H137" s="5" t="s">
        <v>788</v>
      </c>
      <c r="I137" s="5" t="s">
        <v>45</v>
      </c>
      <c r="J137" s="10">
        <v>1401</v>
      </c>
      <c r="K137" s="11">
        <v>5.2239999771118164</v>
      </c>
      <c r="L137" s="12">
        <v>0</v>
      </c>
      <c r="M137" s="5"/>
      <c r="N137" s="5" t="s">
        <v>925</v>
      </c>
      <c r="O137" s="5" t="s">
        <v>926</v>
      </c>
    </row>
    <row r="138" spans="1:15">
      <c r="A138" s="6" t="s">
        <v>927</v>
      </c>
      <c r="B138" s="6" t="s">
        <v>858</v>
      </c>
      <c r="C138" s="6" t="s">
        <v>45</v>
      </c>
      <c r="D138" s="7">
        <v>1401</v>
      </c>
      <c r="E138" s="7" t="s">
        <v>528</v>
      </c>
      <c r="F138" s="7" t="s">
        <v>529</v>
      </c>
      <c r="G138" s="6" t="s">
        <v>927</v>
      </c>
      <c r="H138" s="6" t="s">
        <v>363</v>
      </c>
      <c r="I138" s="6" t="s">
        <v>677</v>
      </c>
      <c r="J138" s="7">
        <v>1406</v>
      </c>
      <c r="K138" s="8">
        <v>5.5219998359680176</v>
      </c>
      <c r="L138" s="9">
        <v>0</v>
      </c>
      <c r="M138" s="6"/>
      <c r="N138" s="6" t="s">
        <v>928</v>
      </c>
      <c r="O138" s="6" t="s">
        <v>279</v>
      </c>
    </row>
    <row r="139" spans="1:15">
      <c r="A139" s="5" t="s">
        <v>927</v>
      </c>
      <c r="B139" s="5" t="s">
        <v>929</v>
      </c>
      <c r="C139" s="5" t="s">
        <v>677</v>
      </c>
      <c r="D139" s="10">
        <v>1406</v>
      </c>
      <c r="E139" s="35" t="s">
        <v>528</v>
      </c>
      <c r="F139" s="35" t="s">
        <v>529</v>
      </c>
      <c r="G139" s="5" t="s">
        <v>927</v>
      </c>
      <c r="H139" s="5" t="s">
        <v>600</v>
      </c>
      <c r="I139" s="5" t="s">
        <v>849</v>
      </c>
      <c r="J139" s="10">
        <v>1413</v>
      </c>
      <c r="K139" s="11">
        <v>6.2439999580383301</v>
      </c>
      <c r="L139" s="12">
        <v>0</v>
      </c>
      <c r="M139" s="5"/>
      <c r="N139" s="5" t="s">
        <v>670</v>
      </c>
      <c r="O139" s="5" t="s">
        <v>930</v>
      </c>
    </row>
    <row r="140" spans="1:15">
      <c r="A140" s="6" t="s">
        <v>927</v>
      </c>
      <c r="B140" s="6" t="s">
        <v>931</v>
      </c>
      <c r="C140" s="6" t="s">
        <v>849</v>
      </c>
      <c r="D140" s="7">
        <v>1413</v>
      </c>
      <c r="E140" s="7" t="s">
        <v>528</v>
      </c>
      <c r="F140" s="7" t="s">
        <v>529</v>
      </c>
      <c r="G140" s="6" t="s">
        <v>927</v>
      </c>
      <c r="H140" s="6" t="s">
        <v>738</v>
      </c>
      <c r="I140" s="6" t="s">
        <v>932</v>
      </c>
      <c r="J140" s="7">
        <v>1415</v>
      </c>
      <c r="K140" s="8">
        <v>2.3459999561309814</v>
      </c>
      <c r="L140" s="9">
        <v>0</v>
      </c>
      <c r="M140" s="6"/>
      <c r="N140" s="6" t="s">
        <v>405</v>
      </c>
      <c r="O140" s="6" t="s">
        <v>933</v>
      </c>
    </row>
    <row r="141" spans="1:15">
      <c r="A141" s="5" t="s">
        <v>927</v>
      </c>
      <c r="B141" s="5" t="s">
        <v>48</v>
      </c>
      <c r="C141" s="5" t="s">
        <v>934</v>
      </c>
      <c r="D141" s="10">
        <v>1415</v>
      </c>
      <c r="E141" s="35" t="s">
        <v>528</v>
      </c>
      <c r="F141" s="35" t="s">
        <v>529</v>
      </c>
      <c r="G141" s="5" t="s">
        <v>927</v>
      </c>
      <c r="H141" s="5" t="s">
        <v>383</v>
      </c>
      <c r="I141" s="5" t="s">
        <v>45</v>
      </c>
      <c r="J141" s="10">
        <v>1424</v>
      </c>
      <c r="K141" s="11">
        <v>8.6160001754760742</v>
      </c>
      <c r="L141" s="12">
        <v>0</v>
      </c>
      <c r="M141" s="5"/>
      <c r="N141" s="5" t="s">
        <v>935</v>
      </c>
      <c r="O141" s="5" t="s">
        <v>936</v>
      </c>
    </row>
    <row r="142" spans="1:15">
      <c r="A142" s="6" t="s">
        <v>927</v>
      </c>
      <c r="B142" s="6" t="s">
        <v>841</v>
      </c>
      <c r="C142" s="6" t="s">
        <v>45</v>
      </c>
      <c r="D142" s="7">
        <v>1424</v>
      </c>
      <c r="E142" s="7" t="s">
        <v>528</v>
      </c>
      <c r="F142" s="7" t="s">
        <v>529</v>
      </c>
      <c r="G142" s="6" t="s">
        <v>927</v>
      </c>
      <c r="H142" s="6" t="s">
        <v>105</v>
      </c>
      <c r="I142" s="6" t="s">
        <v>85</v>
      </c>
      <c r="J142" s="7">
        <v>1429</v>
      </c>
      <c r="K142" s="8">
        <v>5.3860001564025879</v>
      </c>
      <c r="L142" s="9">
        <v>0</v>
      </c>
      <c r="M142" s="6"/>
      <c r="N142" s="6" t="s">
        <v>636</v>
      </c>
      <c r="O142" s="6" t="s">
        <v>937</v>
      </c>
    </row>
    <row r="143" spans="1:15">
      <c r="A143" s="5" t="s">
        <v>927</v>
      </c>
      <c r="B143" s="5" t="s">
        <v>196</v>
      </c>
      <c r="C143" s="5" t="s">
        <v>85</v>
      </c>
      <c r="D143" s="10">
        <v>1429</v>
      </c>
      <c r="E143" s="35" t="s">
        <v>528</v>
      </c>
      <c r="F143" s="35" t="s">
        <v>529</v>
      </c>
      <c r="G143" s="5" t="s">
        <v>927</v>
      </c>
      <c r="H143" s="5" t="s">
        <v>23</v>
      </c>
      <c r="I143" s="5" t="s">
        <v>160</v>
      </c>
      <c r="J143" s="10">
        <v>1433</v>
      </c>
      <c r="K143" s="11">
        <v>4.1640000343322754</v>
      </c>
      <c r="L143" s="12">
        <v>0</v>
      </c>
      <c r="M143" s="5"/>
      <c r="N143" s="5" t="s">
        <v>387</v>
      </c>
      <c r="O143" s="5" t="s">
        <v>938</v>
      </c>
    </row>
    <row r="144" spans="1:15">
      <c r="A144" s="6" t="s">
        <v>927</v>
      </c>
      <c r="B144" s="6" t="s">
        <v>122</v>
      </c>
      <c r="C144" s="6" t="s">
        <v>160</v>
      </c>
      <c r="D144" s="7">
        <v>1433</v>
      </c>
      <c r="E144" s="7" t="s">
        <v>528</v>
      </c>
      <c r="F144" s="7" t="s">
        <v>529</v>
      </c>
      <c r="G144" s="6" t="s">
        <v>927</v>
      </c>
      <c r="H144" s="6" t="s">
        <v>722</v>
      </c>
      <c r="I144" s="6" t="s">
        <v>17</v>
      </c>
      <c r="J144" s="7">
        <v>1435</v>
      </c>
      <c r="K144" s="8">
        <v>2.0550000667572021</v>
      </c>
      <c r="L144" s="9">
        <v>0</v>
      </c>
      <c r="M144" s="6"/>
      <c r="N144" s="6" t="s">
        <v>939</v>
      </c>
      <c r="O144" s="6" t="s">
        <v>940</v>
      </c>
    </row>
    <row r="145" spans="1:15">
      <c r="A145" s="5" t="s">
        <v>927</v>
      </c>
      <c r="B145" s="5" t="s">
        <v>941</v>
      </c>
      <c r="C145" s="5" t="s">
        <v>17</v>
      </c>
      <c r="D145" s="10">
        <v>1435</v>
      </c>
      <c r="E145" s="35" t="s">
        <v>528</v>
      </c>
      <c r="F145" s="35" t="s">
        <v>529</v>
      </c>
      <c r="G145" s="5" t="s">
        <v>927</v>
      </c>
      <c r="H145" s="5" t="s">
        <v>753</v>
      </c>
      <c r="I145" s="5" t="s">
        <v>506</v>
      </c>
      <c r="J145" s="10">
        <v>1437</v>
      </c>
      <c r="K145" s="11">
        <v>1.4750000238418579</v>
      </c>
      <c r="L145" s="12">
        <v>0</v>
      </c>
      <c r="M145" s="5"/>
      <c r="N145" s="5" t="s">
        <v>942</v>
      </c>
      <c r="O145" s="5" t="s">
        <v>943</v>
      </c>
    </row>
    <row r="146" spans="1:15">
      <c r="A146" s="6" t="s">
        <v>927</v>
      </c>
      <c r="B146" s="6" t="s">
        <v>944</v>
      </c>
      <c r="C146" s="6" t="s">
        <v>506</v>
      </c>
      <c r="D146" s="7">
        <v>1437</v>
      </c>
      <c r="E146" s="7" t="s">
        <v>528</v>
      </c>
      <c r="F146" s="7" t="s">
        <v>529</v>
      </c>
      <c r="G146" s="6" t="s">
        <v>927</v>
      </c>
      <c r="H146" s="6" t="s">
        <v>945</v>
      </c>
      <c r="I146" s="6" t="s">
        <v>17</v>
      </c>
      <c r="J146" s="7">
        <v>1438</v>
      </c>
      <c r="K146" s="8">
        <v>1.4750000238418579</v>
      </c>
      <c r="L146" s="9">
        <v>0</v>
      </c>
      <c r="M146" s="6"/>
      <c r="N146" s="6" t="s">
        <v>946</v>
      </c>
      <c r="O146" s="6" t="s">
        <v>947</v>
      </c>
    </row>
    <row r="147" spans="1:15">
      <c r="A147" s="5" t="s">
        <v>948</v>
      </c>
      <c r="B147" s="5" t="s">
        <v>733</v>
      </c>
      <c r="C147" s="5" t="s">
        <v>17</v>
      </c>
      <c r="D147" s="10">
        <v>1438</v>
      </c>
      <c r="E147" s="35" t="s">
        <v>528</v>
      </c>
      <c r="F147" s="35" t="s">
        <v>529</v>
      </c>
      <c r="G147" s="5" t="s">
        <v>948</v>
      </c>
      <c r="H147" s="5" t="s">
        <v>792</v>
      </c>
      <c r="I147" s="5" t="s">
        <v>247</v>
      </c>
      <c r="J147" s="10">
        <v>1444</v>
      </c>
      <c r="K147" s="11">
        <v>5.8359999656677246</v>
      </c>
      <c r="L147" s="12">
        <v>0</v>
      </c>
      <c r="M147" s="5"/>
      <c r="N147" s="5" t="s">
        <v>949</v>
      </c>
      <c r="O147" s="5" t="s">
        <v>950</v>
      </c>
    </row>
    <row r="148" spans="1:15">
      <c r="A148" s="6" t="s">
        <v>948</v>
      </c>
      <c r="B148" s="6" t="s">
        <v>951</v>
      </c>
      <c r="C148" s="6" t="s">
        <v>247</v>
      </c>
      <c r="D148" s="7">
        <v>1444</v>
      </c>
      <c r="E148" s="7" t="s">
        <v>528</v>
      </c>
      <c r="F148" s="7" t="s">
        <v>529</v>
      </c>
      <c r="G148" s="6" t="s">
        <v>948</v>
      </c>
      <c r="H148" s="6" t="s">
        <v>332</v>
      </c>
      <c r="I148" s="6" t="s">
        <v>45</v>
      </c>
      <c r="J148" s="7">
        <v>1449</v>
      </c>
      <c r="K148" s="8">
        <v>4.8730001449584961</v>
      </c>
      <c r="L148" s="9">
        <v>0</v>
      </c>
      <c r="M148" s="6"/>
      <c r="N148" s="6" t="s">
        <v>952</v>
      </c>
      <c r="O148" s="6" t="s">
        <v>953</v>
      </c>
    </row>
    <row r="149" spans="1:15">
      <c r="A149" s="5" t="s">
        <v>954</v>
      </c>
      <c r="B149" s="5" t="s">
        <v>955</v>
      </c>
      <c r="C149" s="5" t="s">
        <v>45</v>
      </c>
      <c r="D149" s="10">
        <v>1449</v>
      </c>
      <c r="E149" s="35" t="s">
        <v>528</v>
      </c>
      <c r="F149" s="35" t="s">
        <v>529</v>
      </c>
      <c r="G149" s="5" t="s">
        <v>954</v>
      </c>
      <c r="H149" s="5" t="s">
        <v>38</v>
      </c>
      <c r="I149" s="5" t="s">
        <v>45</v>
      </c>
      <c r="J149" s="10">
        <v>1460</v>
      </c>
      <c r="K149" s="11">
        <v>11.357000350952148</v>
      </c>
      <c r="L149" s="12">
        <v>0</v>
      </c>
      <c r="M149" s="5"/>
      <c r="N149" s="5" t="s">
        <v>943</v>
      </c>
      <c r="O149" s="5" t="s">
        <v>956</v>
      </c>
    </row>
    <row r="150" spans="1:15">
      <c r="A150" s="6" t="s">
        <v>954</v>
      </c>
      <c r="B150" s="6" t="s">
        <v>957</v>
      </c>
      <c r="C150" s="6" t="s">
        <v>45</v>
      </c>
      <c r="D150" s="7">
        <v>1460</v>
      </c>
      <c r="E150" s="7" t="s">
        <v>528</v>
      </c>
      <c r="F150" s="7" t="s">
        <v>529</v>
      </c>
      <c r="G150" s="6" t="s">
        <v>954</v>
      </c>
      <c r="H150" s="6" t="s">
        <v>530</v>
      </c>
      <c r="I150" s="6" t="s">
        <v>17</v>
      </c>
      <c r="J150" s="7">
        <v>1465</v>
      </c>
      <c r="K150" s="8">
        <v>4.6529998779296875</v>
      </c>
      <c r="L150" s="9">
        <v>0</v>
      </c>
      <c r="M150" s="6"/>
      <c r="N150" s="6" t="s">
        <v>958</v>
      </c>
      <c r="O150" s="6" t="s">
        <v>959</v>
      </c>
    </row>
    <row r="151" spans="1:15">
      <c r="A151" s="5" t="s">
        <v>960</v>
      </c>
      <c r="B151" s="5" t="s">
        <v>961</v>
      </c>
      <c r="C151" s="5" t="s">
        <v>17</v>
      </c>
      <c r="D151" s="10">
        <v>1465</v>
      </c>
      <c r="E151" s="35" t="s">
        <v>528</v>
      </c>
      <c r="F151" s="35" t="s">
        <v>529</v>
      </c>
      <c r="G151" s="5" t="s">
        <v>960</v>
      </c>
      <c r="H151" s="5" t="s">
        <v>962</v>
      </c>
      <c r="I151" s="5" t="s">
        <v>240</v>
      </c>
      <c r="J151" s="10">
        <v>1470</v>
      </c>
      <c r="K151" s="11">
        <v>4.810999870300293</v>
      </c>
      <c r="L151" s="12">
        <v>0</v>
      </c>
      <c r="M151" s="5"/>
      <c r="N151" s="5" t="s">
        <v>963</v>
      </c>
      <c r="O151" s="5" t="s">
        <v>964</v>
      </c>
    </row>
    <row r="152" spans="1:15">
      <c r="A152" s="6" t="s">
        <v>960</v>
      </c>
      <c r="B152" s="6" t="s">
        <v>965</v>
      </c>
      <c r="C152" s="6" t="s">
        <v>240</v>
      </c>
      <c r="D152" s="7">
        <v>1470</v>
      </c>
      <c r="E152" s="7" t="s">
        <v>528</v>
      </c>
      <c r="F152" s="7" t="s">
        <v>529</v>
      </c>
      <c r="G152" s="6" t="s">
        <v>960</v>
      </c>
      <c r="H152" s="6" t="s">
        <v>64</v>
      </c>
      <c r="I152" s="6" t="s">
        <v>45</v>
      </c>
      <c r="J152" s="7">
        <v>1474</v>
      </c>
      <c r="K152" s="8">
        <v>4.5209999084472656</v>
      </c>
      <c r="L152" s="9">
        <v>0</v>
      </c>
      <c r="M152" s="6"/>
      <c r="N152" s="6" t="s">
        <v>639</v>
      </c>
      <c r="O152" s="6" t="s">
        <v>966</v>
      </c>
    </row>
    <row r="153" spans="1:15">
      <c r="A153" s="5" t="s">
        <v>960</v>
      </c>
      <c r="B153" s="5" t="s">
        <v>533</v>
      </c>
      <c r="C153" s="5" t="s">
        <v>45</v>
      </c>
      <c r="D153" s="10">
        <v>1474</v>
      </c>
      <c r="E153" s="35" t="s">
        <v>528</v>
      </c>
      <c r="F153" s="35" t="s">
        <v>529</v>
      </c>
      <c r="G153" s="5" t="s">
        <v>960</v>
      </c>
      <c r="H153" s="5" t="s">
        <v>655</v>
      </c>
      <c r="I153" s="5" t="s">
        <v>428</v>
      </c>
      <c r="J153" s="10">
        <v>1475</v>
      </c>
      <c r="K153" s="11">
        <v>1.1690000295639038</v>
      </c>
      <c r="L153" s="12">
        <v>0</v>
      </c>
      <c r="M153" s="5"/>
      <c r="N153" s="5" t="s">
        <v>967</v>
      </c>
      <c r="O153" s="5" t="s">
        <v>968</v>
      </c>
    </row>
    <row r="154" spans="1:15">
      <c r="A154" s="6" t="s">
        <v>960</v>
      </c>
      <c r="B154" s="6" t="s">
        <v>969</v>
      </c>
      <c r="C154" s="6" t="s">
        <v>29</v>
      </c>
      <c r="D154" s="7">
        <v>1475</v>
      </c>
      <c r="E154" s="7" t="s">
        <v>528</v>
      </c>
      <c r="F154" s="7" t="s">
        <v>529</v>
      </c>
      <c r="G154" s="6" t="s">
        <v>960</v>
      </c>
      <c r="H154" s="6" t="s">
        <v>970</v>
      </c>
      <c r="I154" s="6" t="s">
        <v>971</v>
      </c>
      <c r="J154" s="7">
        <v>1478</v>
      </c>
      <c r="K154" s="8">
        <v>2.2660000324249268</v>
      </c>
      <c r="L154" s="9">
        <v>0</v>
      </c>
      <c r="M154" s="6"/>
      <c r="N154" s="6" t="s">
        <v>972</v>
      </c>
      <c r="O154" s="6" t="s">
        <v>973</v>
      </c>
    </row>
    <row r="155" spans="1:15">
      <c r="A155" s="5" t="s">
        <v>960</v>
      </c>
      <c r="B155" s="5" t="s">
        <v>823</v>
      </c>
      <c r="C155" s="5" t="s">
        <v>971</v>
      </c>
      <c r="D155" s="10">
        <v>1478</v>
      </c>
      <c r="E155" s="35" t="s">
        <v>528</v>
      </c>
      <c r="F155" s="35" t="s">
        <v>529</v>
      </c>
      <c r="G155" s="5" t="s">
        <v>960</v>
      </c>
      <c r="H155" s="5" t="s">
        <v>974</v>
      </c>
      <c r="I155" s="5" t="s">
        <v>457</v>
      </c>
      <c r="J155" s="10">
        <v>1480</v>
      </c>
      <c r="K155" s="11">
        <v>1.7979999780654907</v>
      </c>
      <c r="L155" s="12">
        <v>0</v>
      </c>
      <c r="M155" s="5"/>
      <c r="N155" s="5" t="s">
        <v>975</v>
      </c>
      <c r="O155" s="5" t="s">
        <v>976</v>
      </c>
    </row>
    <row r="156" spans="1:15">
      <c r="A156" s="6" t="s">
        <v>960</v>
      </c>
      <c r="B156" s="6" t="s">
        <v>541</v>
      </c>
      <c r="C156" s="6" t="s">
        <v>457</v>
      </c>
      <c r="D156" s="7">
        <v>1480</v>
      </c>
      <c r="E156" s="7" t="s">
        <v>528</v>
      </c>
      <c r="F156" s="7" t="s">
        <v>529</v>
      </c>
      <c r="G156" s="6" t="s">
        <v>960</v>
      </c>
      <c r="H156" s="6" t="s">
        <v>138</v>
      </c>
      <c r="I156" s="6" t="s">
        <v>17</v>
      </c>
      <c r="J156" s="7">
        <v>1484</v>
      </c>
      <c r="K156" s="8">
        <v>4.0269999504089355</v>
      </c>
      <c r="L156" s="9">
        <v>0</v>
      </c>
      <c r="M156" s="6"/>
      <c r="N156" s="6" t="s">
        <v>591</v>
      </c>
      <c r="O156" s="6" t="s">
        <v>977</v>
      </c>
    </row>
    <row r="157" spans="1:15">
      <c r="A157" s="5" t="s">
        <v>978</v>
      </c>
      <c r="B157" s="5" t="s">
        <v>490</v>
      </c>
      <c r="C157" s="5" t="s">
        <v>45</v>
      </c>
      <c r="D157" s="10">
        <v>1484</v>
      </c>
      <c r="E157" s="35" t="s">
        <v>528</v>
      </c>
      <c r="F157" s="35" t="s">
        <v>529</v>
      </c>
      <c r="G157" s="5" t="s">
        <v>978</v>
      </c>
      <c r="H157" s="5" t="s">
        <v>479</v>
      </c>
      <c r="I157" s="5" t="s">
        <v>506</v>
      </c>
      <c r="J157" s="10">
        <v>1485</v>
      </c>
      <c r="K157" s="11">
        <v>1.7580000162124634</v>
      </c>
      <c r="L157" s="12">
        <v>0</v>
      </c>
      <c r="M157" s="5"/>
      <c r="N157" s="5" t="s">
        <v>979</v>
      </c>
      <c r="O157" s="5" t="s">
        <v>980</v>
      </c>
    </row>
    <row r="158" spans="1:15">
      <c r="A158" s="6" t="s">
        <v>978</v>
      </c>
      <c r="B158" s="6" t="s">
        <v>500</v>
      </c>
      <c r="C158" s="6" t="s">
        <v>506</v>
      </c>
      <c r="D158" s="7">
        <v>1485</v>
      </c>
      <c r="E158" s="7" t="s">
        <v>528</v>
      </c>
      <c r="F158" s="7" t="s">
        <v>529</v>
      </c>
      <c r="G158" s="6" t="s">
        <v>978</v>
      </c>
      <c r="H158" s="6" t="s">
        <v>501</v>
      </c>
      <c r="I158" s="6" t="s">
        <v>160</v>
      </c>
      <c r="J158" s="7">
        <v>1487</v>
      </c>
      <c r="K158" s="8">
        <v>1.2239999771118164</v>
      </c>
      <c r="L158" s="9">
        <v>0</v>
      </c>
      <c r="M158" s="6"/>
      <c r="N158" s="6" t="s">
        <v>981</v>
      </c>
      <c r="O158" s="6" t="s">
        <v>982</v>
      </c>
    </row>
    <row r="159" spans="1:15">
      <c r="A159" s="5" t="s">
        <v>978</v>
      </c>
      <c r="B159" s="5" t="s">
        <v>983</v>
      </c>
      <c r="C159" s="5" t="s">
        <v>160</v>
      </c>
      <c r="D159" s="10">
        <v>1487</v>
      </c>
      <c r="E159" s="35" t="s">
        <v>528</v>
      </c>
      <c r="F159" s="35" t="s">
        <v>529</v>
      </c>
      <c r="G159" s="5" t="s">
        <v>978</v>
      </c>
      <c r="H159" s="5" t="s">
        <v>984</v>
      </c>
      <c r="I159" s="5" t="s">
        <v>428</v>
      </c>
      <c r="J159" s="10">
        <v>1488</v>
      </c>
      <c r="K159" s="11">
        <v>1.0069999694824219</v>
      </c>
      <c r="L159" s="12">
        <v>0</v>
      </c>
      <c r="M159" s="5"/>
      <c r="N159" s="5" t="s">
        <v>985</v>
      </c>
      <c r="O159" s="5" t="s">
        <v>884</v>
      </c>
    </row>
    <row r="160" spans="1:15">
      <c r="A160" s="6" t="s">
        <v>978</v>
      </c>
      <c r="B160" s="6" t="s">
        <v>984</v>
      </c>
      <c r="C160" s="6" t="s">
        <v>428</v>
      </c>
      <c r="D160" s="7">
        <v>1488</v>
      </c>
      <c r="E160" s="7" t="s">
        <v>528</v>
      </c>
      <c r="F160" s="7" t="s">
        <v>529</v>
      </c>
      <c r="G160" s="6" t="s">
        <v>978</v>
      </c>
      <c r="H160" s="6" t="s">
        <v>430</v>
      </c>
      <c r="I160" s="6" t="s">
        <v>17</v>
      </c>
      <c r="J160" s="7">
        <v>1489</v>
      </c>
      <c r="K160" s="8">
        <v>1.2220000028610229</v>
      </c>
      <c r="L160" s="9">
        <v>0</v>
      </c>
      <c r="M160" s="6"/>
      <c r="N160" s="6" t="s">
        <v>986</v>
      </c>
      <c r="O160" s="6" t="s">
        <v>987</v>
      </c>
    </row>
    <row r="161" spans="1:15">
      <c r="A161" s="5" t="s">
        <v>988</v>
      </c>
      <c r="B161" s="5" t="s">
        <v>989</v>
      </c>
      <c r="C161" s="5" t="s">
        <v>17</v>
      </c>
      <c r="D161" s="10">
        <v>1489</v>
      </c>
      <c r="E161" s="35" t="s">
        <v>528</v>
      </c>
      <c r="F161" s="35" t="s">
        <v>529</v>
      </c>
      <c r="G161" s="5" t="s">
        <v>988</v>
      </c>
      <c r="H161" s="5" t="s">
        <v>37</v>
      </c>
      <c r="I161" s="5" t="s">
        <v>905</v>
      </c>
      <c r="J161" s="10">
        <v>1500</v>
      </c>
      <c r="K161" s="11">
        <v>10.88700008392334</v>
      </c>
      <c r="L161" s="12">
        <v>0</v>
      </c>
      <c r="M161" s="5"/>
      <c r="N161" s="5" t="s">
        <v>990</v>
      </c>
      <c r="O161" s="5" t="s">
        <v>991</v>
      </c>
    </row>
    <row r="162" spans="1:15">
      <c r="A162" s="6" t="s">
        <v>988</v>
      </c>
      <c r="B162" s="6" t="s">
        <v>992</v>
      </c>
      <c r="C162" s="6" t="s">
        <v>905</v>
      </c>
      <c r="D162" s="7">
        <v>1500</v>
      </c>
      <c r="E162" s="7" t="s">
        <v>528</v>
      </c>
      <c r="F162" s="7" t="s">
        <v>529</v>
      </c>
      <c r="G162" s="6" t="s">
        <v>988</v>
      </c>
      <c r="H162" s="6" t="s">
        <v>993</v>
      </c>
      <c r="I162" s="6" t="s">
        <v>904</v>
      </c>
      <c r="J162" s="7">
        <v>1502</v>
      </c>
      <c r="K162" s="8">
        <v>1.7999999523162842</v>
      </c>
      <c r="L162" s="9">
        <v>0</v>
      </c>
      <c r="M162" s="6"/>
      <c r="N162" s="6" t="s">
        <v>477</v>
      </c>
      <c r="O162" s="6" t="s">
        <v>994</v>
      </c>
    </row>
    <row r="163" spans="1:15">
      <c r="A163" s="5" t="s">
        <v>988</v>
      </c>
      <c r="B163" s="5" t="s">
        <v>995</v>
      </c>
      <c r="C163" s="5" t="s">
        <v>904</v>
      </c>
      <c r="D163" s="10">
        <v>1502</v>
      </c>
      <c r="E163" s="35" t="s">
        <v>528</v>
      </c>
      <c r="F163" s="35" t="s">
        <v>529</v>
      </c>
      <c r="G163" s="5" t="s">
        <v>988</v>
      </c>
      <c r="H163" s="5" t="s">
        <v>890</v>
      </c>
      <c r="I163" s="5" t="s">
        <v>17</v>
      </c>
      <c r="J163" s="10">
        <v>1513</v>
      </c>
      <c r="K163" s="11">
        <v>11.909999847412109</v>
      </c>
      <c r="L163" s="12">
        <v>0</v>
      </c>
      <c r="M163" s="5"/>
      <c r="N163" s="5" t="s">
        <v>996</v>
      </c>
      <c r="O163" s="5" t="s">
        <v>997</v>
      </c>
    </row>
    <row r="164" spans="1:15">
      <c r="A164" s="6" t="s">
        <v>998</v>
      </c>
      <c r="B164" s="6" t="s">
        <v>67</v>
      </c>
      <c r="C164" s="6" t="s">
        <v>17</v>
      </c>
      <c r="D164" s="7">
        <v>1514</v>
      </c>
      <c r="E164" s="7" t="s">
        <v>528</v>
      </c>
      <c r="F164" s="7" t="s">
        <v>529</v>
      </c>
      <c r="G164" s="6" t="s">
        <v>998</v>
      </c>
      <c r="H164" s="6" t="s">
        <v>209</v>
      </c>
      <c r="I164" s="6" t="s">
        <v>17</v>
      </c>
      <c r="J164" s="7">
        <v>1553</v>
      </c>
      <c r="K164" s="8">
        <v>39.318000793457031</v>
      </c>
      <c r="L164" s="9">
        <v>0</v>
      </c>
      <c r="M164" s="6"/>
      <c r="N164" s="6" t="s">
        <v>999</v>
      </c>
      <c r="O164" s="6" t="s">
        <v>1000</v>
      </c>
    </row>
    <row r="165" spans="1:15">
      <c r="A165" s="5" t="s">
        <v>998</v>
      </c>
      <c r="B165" s="5" t="s">
        <v>217</v>
      </c>
      <c r="C165" s="5" t="s">
        <v>17</v>
      </c>
      <c r="D165" s="10">
        <v>1553</v>
      </c>
      <c r="E165" s="35" t="s">
        <v>528</v>
      </c>
      <c r="F165" s="35" t="s">
        <v>529</v>
      </c>
      <c r="G165" s="5" t="s">
        <v>998</v>
      </c>
      <c r="H165" s="5" t="s">
        <v>350</v>
      </c>
      <c r="I165" s="5" t="s">
        <v>39</v>
      </c>
      <c r="J165" s="10">
        <v>1559</v>
      </c>
      <c r="K165" s="11">
        <v>5.6620001792907715</v>
      </c>
      <c r="L165" s="12">
        <v>0</v>
      </c>
      <c r="M165" s="5"/>
      <c r="N165" s="5" t="s">
        <v>1001</v>
      </c>
      <c r="O165" s="5" t="s">
        <v>565</v>
      </c>
    </row>
    <row r="166" spans="1:15">
      <c r="A166" s="6" t="s">
        <v>998</v>
      </c>
      <c r="B166" s="6" t="s">
        <v>351</v>
      </c>
      <c r="C166" s="6" t="s">
        <v>39</v>
      </c>
      <c r="D166" s="7">
        <v>1559</v>
      </c>
      <c r="E166" s="7" t="s">
        <v>528</v>
      </c>
      <c r="F166" s="7" t="s">
        <v>529</v>
      </c>
      <c r="G166" s="6" t="s">
        <v>998</v>
      </c>
      <c r="H166" s="6" t="s">
        <v>252</v>
      </c>
      <c r="I166" s="6" t="s">
        <v>17</v>
      </c>
      <c r="J166" s="7">
        <v>1564</v>
      </c>
      <c r="K166" s="8">
        <v>5.6459999084472656</v>
      </c>
      <c r="L166" s="9">
        <v>0</v>
      </c>
      <c r="M166" s="6"/>
      <c r="N166" s="6" t="s">
        <v>1002</v>
      </c>
      <c r="O166" s="6" t="s">
        <v>1003</v>
      </c>
    </row>
    <row r="167" spans="1:15">
      <c r="A167" s="5" t="s">
        <v>1004</v>
      </c>
      <c r="B167" s="5" t="s">
        <v>379</v>
      </c>
      <c r="C167" s="5" t="s">
        <v>17</v>
      </c>
      <c r="D167" s="10">
        <v>1564</v>
      </c>
      <c r="E167" s="35" t="s">
        <v>528</v>
      </c>
      <c r="F167" s="35" t="s">
        <v>529</v>
      </c>
      <c r="G167" s="5" t="s">
        <v>1004</v>
      </c>
      <c r="H167" s="5" t="s">
        <v>108</v>
      </c>
      <c r="I167" s="5" t="s">
        <v>419</v>
      </c>
      <c r="J167" s="10">
        <v>1570</v>
      </c>
      <c r="K167" s="11">
        <v>5.3359999656677246</v>
      </c>
      <c r="L167" s="12">
        <v>0</v>
      </c>
      <c r="M167" s="5"/>
      <c r="N167" s="5" t="s">
        <v>597</v>
      </c>
      <c r="O167" s="5" t="s">
        <v>1005</v>
      </c>
    </row>
    <row r="168" spans="1:15">
      <c r="A168" s="6" t="s">
        <v>1004</v>
      </c>
      <c r="B168" s="6" t="s">
        <v>759</v>
      </c>
      <c r="C168" s="6" t="s">
        <v>419</v>
      </c>
      <c r="D168" s="7">
        <v>1570</v>
      </c>
      <c r="E168" s="7" t="s">
        <v>528</v>
      </c>
      <c r="F168" s="7" t="s">
        <v>529</v>
      </c>
      <c r="G168" s="6" t="s">
        <v>1004</v>
      </c>
      <c r="H168" s="6" t="s">
        <v>188</v>
      </c>
      <c r="I168" s="6" t="s">
        <v>232</v>
      </c>
      <c r="J168" s="7">
        <v>1575</v>
      </c>
      <c r="K168" s="8">
        <v>5.0879998207092285</v>
      </c>
      <c r="L168" s="9">
        <v>0</v>
      </c>
      <c r="M168" s="6"/>
      <c r="N168" s="6" t="s">
        <v>1006</v>
      </c>
      <c r="O168" s="6" t="s">
        <v>1007</v>
      </c>
    </row>
    <row r="169" spans="1:15">
      <c r="A169" s="5" t="s">
        <v>1004</v>
      </c>
      <c r="B169" s="5" t="s">
        <v>1008</v>
      </c>
      <c r="C169" s="5" t="s">
        <v>232</v>
      </c>
      <c r="D169" s="10">
        <v>1575</v>
      </c>
      <c r="E169" s="35" t="s">
        <v>528</v>
      </c>
      <c r="F169" s="35" t="s">
        <v>529</v>
      </c>
      <c r="G169" s="5" t="s">
        <v>1004</v>
      </c>
      <c r="H169" s="5" t="s">
        <v>97</v>
      </c>
      <c r="I169" s="5" t="s">
        <v>17</v>
      </c>
      <c r="J169" s="10">
        <v>1576</v>
      </c>
      <c r="K169" s="11">
        <v>1.0820000171661377</v>
      </c>
      <c r="L169" s="12">
        <v>0</v>
      </c>
      <c r="M169" s="5"/>
      <c r="N169" s="5" t="s">
        <v>1009</v>
      </c>
      <c r="O169" s="5" t="s">
        <v>1010</v>
      </c>
    </row>
    <row r="170" spans="1:15">
      <c r="A170" s="6" t="s">
        <v>1011</v>
      </c>
      <c r="B170" s="6" t="s">
        <v>79</v>
      </c>
      <c r="C170" s="6" t="s">
        <v>17</v>
      </c>
      <c r="D170" s="7">
        <v>1576</v>
      </c>
      <c r="E170" s="7" t="s">
        <v>528</v>
      </c>
      <c r="F170" s="7" t="s">
        <v>529</v>
      </c>
      <c r="G170" s="6" t="s">
        <v>1011</v>
      </c>
      <c r="H170" s="6" t="s">
        <v>1012</v>
      </c>
      <c r="I170" s="6" t="s">
        <v>410</v>
      </c>
      <c r="J170" s="7">
        <v>1577</v>
      </c>
      <c r="K170" s="8">
        <v>1.1210000514984131</v>
      </c>
      <c r="L170" s="9">
        <v>0</v>
      </c>
      <c r="M170" s="6"/>
      <c r="N170" s="6" t="s">
        <v>1013</v>
      </c>
      <c r="O170" s="6" t="s">
        <v>1014</v>
      </c>
    </row>
    <row r="171" spans="1:15">
      <c r="A171" s="5" t="s">
        <v>1011</v>
      </c>
      <c r="B171" s="5" t="s">
        <v>155</v>
      </c>
      <c r="C171" s="5" t="s">
        <v>410</v>
      </c>
      <c r="D171" s="10">
        <v>1577</v>
      </c>
      <c r="E171" s="35" t="s">
        <v>528</v>
      </c>
      <c r="F171" s="35" t="s">
        <v>529</v>
      </c>
      <c r="G171" s="5" t="s">
        <v>1011</v>
      </c>
      <c r="H171" s="5" t="s">
        <v>156</v>
      </c>
      <c r="I171" s="5" t="s">
        <v>17</v>
      </c>
      <c r="J171" s="10">
        <v>1578</v>
      </c>
      <c r="K171" s="11">
        <v>1.1150000095367432</v>
      </c>
      <c r="L171" s="12">
        <v>0</v>
      </c>
      <c r="M171" s="5"/>
      <c r="N171" s="5" t="s">
        <v>1015</v>
      </c>
      <c r="O171" s="5" t="s">
        <v>1016</v>
      </c>
    </row>
    <row r="172" spans="1:15">
      <c r="A172" s="6" t="s">
        <v>1017</v>
      </c>
      <c r="B172" s="6" t="s">
        <v>703</v>
      </c>
      <c r="C172" s="6" t="s">
        <v>17</v>
      </c>
      <c r="D172" s="7">
        <v>1578</v>
      </c>
      <c r="E172" s="7" t="s">
        <v>528</v>
      </c>
      <c r="F172" s="7" t="s">
        <v>529</v>
      </c>
      <c r="G172" s="6" t="s">
        <v>1017</v>
      </c>
      <c r="H172" s="6" t="s">
        <v>1018</v>
      </c>
      <c r="I172" s="6" t="s">
        <v>1019</v>
      </c>
      <c r="J172" s="7">
        <v>1582</v>
      </c>
      <c r="K172" s="8">
        <v>3.5859999656677246</v>
      </c>
      <c r="L172" s="9">
        <v>0</v>
      </c>
      <c r="M172" s="6"/>
      <c r="N172" s="6" t="s">
        <v>658</v>
      </c>
      <c r="O172" s="6" t="s">
        <v>1020</v>
      </c>
    </row>
    <row r="173" spans="1:15">
      <c r="A173" s="5" t="s">
        <v>1017</v>
      </c>
      <c r="B173" s="5" t="s">
        <v>837</v>
      </c>
      <c r="C173" s="5" t="s">
        <v>1019</v>
      </c>
      <c r="D173" s="10">
        <v>1582</v>
      </c>
      <c r="E173" s="35" t="s">
        <v>528</v>
      </c>
      <c r="F173" s="35" t="s">
        <v>529</v>
      </c>
      <c r="G173" s="5" t="s">
        <v>1017</v>
      </c>
      <c r="H173" s="5" t="s">
        <v>1021</v>
      </c>
      <c r="I173" s="5" t="s">
        <v>292</v>
      </c>
      <c r="J173" s="10">
        <v>1585</v>
      </c>
      <c r="K173" s="11">
        <v>2.8949999809265137</v>
      </c>
      <c r="L173" s="12">
        <v>0</v>
      </c>
      <c r="M173" s="5"/>
      <c r="N173" s="5" t="s">
        <v>148</v>
      </c>
      <c r="O173" s="5" t="s">
        <v>1022</v>
      </c>
    </row>
    <row r="174" spans="1:15">
      <c r="A174" s="6" t="s">
        <v>1017</v>
      </c>
      <c r="B174" s="6" t="s">
        <v>1021</v>
      </c>
      <c r="C174" s="6" t="s">
        <v>292</v>
      </c>
      <c r="D174" s="7">
        <v>1585</v>
      </c>
      <c r="E174" s="7" t="s">
        <v>528</v>
      </c>
      <c r="F174" s="7" t="s">
        <v>529</v>
      </c>
      <c r="G174" s="6" t="s">
        <v>1017</v>
      </c>
      <c r="H174" s="6" t="s">
        <v>174</v>
      </c>
      <c r="I174" s="6" t="s">
        <v>17</v>
      </c>
      <c r="J174" s="7">
        <v>1587</v>
      </c>
      <c r="K174" s="8">
        <v>2.0639998912811279</v>
      </c>
      <c r="L174" s="9">
        <v>0</v>
      </c>
      <c r="M174" s="6"/>
      <c r="N174" s="6" t="s">
        <v>1023</v>
      </c>
      <c r="O174" s="6" t="s">
        <v>1024</v>
      </c>
    </row>
    <row r="175" spans="1:15">
      <c r="A175" s="5" t="s">
        <v>1025</v>
      </c>
      <c r="B175" s="5" t="s">
        <v>882</v>
      </c>
      <c r="C175" s="5" t="s">
        <v>17</v>
      </c>
      <c r="D175" s="10">
        <v>1587</v>
      </c>
      <c r="E175" s="35" t="s">
        <v>528</v>
      </c>
      <c r="F175" s="35" t="s">
        <v>529</v>
      </c>
      <c r="G175" s="5" t="s">
        <v>1025</v>
      </c>
      <c r="H175" s="5" t="s">
        <v>778</v>
      </c>
      <c r="I175" s="5" t="s">
        <v>110</v>
      </c>
      <c r="J175" s="10">
        <v>1594</v>
      </c>
      <c r="K175" s="11">
        <v>7.0199999809265137</v>
      </c>
      <c r="L175" s="12">
        <v>0</v>
      </c>
      <c r="M175" s="5"/>
      <c r="N175" s="5" t="s">
        <v>1026</v>
      </c>
      <c r="O175" s="5" t="s">
        <v>1027</v>
      </c>
    </row>
    <row r="176" spans="1:15">
      <c r="A176" s="6" t="s">
        <v>1025</v>
      </c>
      <c r="B176" s="6" t="s">
        <v>823</v>
      </c>
      <c r="C176" s="6" t="s">
        <v>110</v>
      </c>
      <c r="D176" s="7">
        <v>1594</v>
      </c>
      <c r="E176" s="7" t="s">
        <v>528</v>
      </c>
      <c r="F176" s="7" t="s">
        <v>529</v>
      </c>
      <c r="G176" s="6" t="s">
        <v>1025</v>
      </c>
      <c r="H176" s="6" t="s">
        <v>542</v>
      </c>
      <c r="I176" s="6" t="s">
        <v>45</v>
      </c>
      <c r="J176" s="7">
        <v>1601</v>
      </c>
      <c r="K176" s="8">
        <v>7.7059998512268066</v>
      </c>
      <c r="L176" s="9">
        <v>0</v>
      </c>
      <c r="M176" s="6"/>
      <c r="N176" s="6" t="s">
        <v>1028</v>
      </c>
      <c r="O176" s="6" t="s">
        <v>1029</v>
      </c>
    </row>
    <row r="177" spans="1:15">
      <c r="A177" s="5" t="s">
        <v>1030</v>
      </c>
      <c r="B177" s="5" t="s">
        <v>489</v>
      </c>
      <c r="C177" s="5" t="s">
        <v>45</v>
      </c>
      <c r="D177" s="10">
        <v>1601</v>
      </c>
      <c r="E177" s="35" t="s">
        <v>528</v>
      </c>
      <c r="F177" s="35" t="s">
        <v>529</v>
      </c>
      <c r="G177" s="5" t="s">
        <v>1030</v>
      </c>
      <c r="H177" s="5" t="s">
        <v>1031</v>
      </c>
      <c r="I177" s="5" t="s">
        <v>1032</v>
      </c>
      <c r="J177" s="10">
        <v>1608</v>
      </c>
      <c r="K177" s="11">
        <v>6.5949997901916504</v>
      </c>
      <c r="L177" s="12">
        <v>0</v>
      </c>
      <c r="M177" s="5"/>
      <c r="N177" s="5" t="s">
        <v>1033</v>
      </c>
      <c r="O177" s="5" t="s">
        <v>1034</v>
      </c>
    </row>
    <row r="178" spans="1:15">
      <c r="A178" s="6" t="s">
        <v>1030</v>
      </c>
      <c r="B178" s="6" t="s">
        <v>500</v>
      </c>
      <c r="C178" s="6" t="s">
        <v>1032</v>
      </c>
      <c r="D178" s="7">
        <v>1608</v>
      </c>
      <c r="E178" s="7" t="s">
        <v>528</v>
      </c>
      <c r="F178" s="7" t="s">
        <v>529</v>
      </c>
      <c r="G178" s="6" t="s">
        <v>1030</v>
      </c>
      <c r="H178" s="6" t="s">
        <v>984</v>
      </c>
      <c r="I178" s="6" t="s">
        <v>17</v>
      </c>
      <c r="J178" s="7">
        <v>1614</v>
      </c>
      <c r="K178" s="8">
        <v>6.4010000228881836</v>
      </c>
      <c r="L178" s="9">
        <v>0</v>
      </c>
      <c r="M178" s="6"/>
      <c r="N178" s="6" t="s">
        <v>1035</v>
      </c>
      <c r="O178" s="6" t="s">
        <v>1036</v>
      </c>
    </row>
    <row r="179" spans="1:15">
      <c r="A179" s="5" t="s">
        <v>1037</v>
      </c>
      <c r="B179" s="5" t="s">
        <v>711</v>
      </c>
      <c r="C179" s="5" t="s">
        <v>17</v>
      </c>
      <c r="D179" s="10">
        <v>1614</v>
      </c>
      <c r="E179" s="35" t="s">
        <v>528</v>
      </c>
      <c r="F179" s="35" t="s">
        <v>529</v>
      </c>
      <c r="G179" s="5" t="s">
        <v>1037</v>
      </c>
      <c r="H179" s="5" t="s">
        <v>889</v>
      </c>
      <c r="I179" s="5" t="s">
        <v>1038</v>
      </c>
      <c r="J179" s="10">
        <v>1622</v>
      </c>
      <c r="K179" s="11">
        <v>7.309999942779541</v>
      </c>
      <c r="L179" s="12">
        <v>0</v>
      </c>
      <c r="M179" s="5"/>
      <c r="N179" s="5" t="s">
        <v>1039</v>
      </c>
      <c r="O179" s="5" t="s">
        <v>714</v>
      </c>
    </row>
    <row r="180" spans="1:15">
      <c r="A180" s="6" t="s">
        <v>1037</v>
      </c>
      <c r="B180" s="6" t="s">
        <v>993</v>
      </c>
      <c r="C180" s="6" t="s">
        <v>1038</v>
      </c>
      <c r="D180" s="7">
        <v>1622</v>
      </c>
      <c r="E180" s="7" t="s">
        <v>528</v>
      </c>
      <c r="F180" s="7" t="s">
        <v>529</v>
      </c>
      <c r="G180" s="6" t="s">
        <v>1037</v>
      </c>
      <c r="H180" s="6" t="s">
        <v>445</v>
      </c>
      <c r="I180" s="6" t="s">
        <v>292</v>
      </c>
      <c r="J180" s="7">
        <v>1629</v>
      </c>
      <c r="K180" s="8">
        <v>6.9219999313354492</v>
      </c>
      <c r="L180" s="9">
        <v>0</v>
      </c>
      <c r="M180" s="6"/>
      <c r="N180" s="6" t="s">
        <v>1040</v>
      </c>
      <c r="O180" s="6" t="s">
        <v>1041</v>
      </c>
    </row>
    <row r="181" spans="1:15">
      <c r="A181" s="5" t="s">
        <v>1037</v>
      </c>
      <c r="B181" s="5" t="s">
        <v>44</v>
      </c>
      <c r="C181" s="5" t="s">
        <v>292</v>
      </c>
      <c r="D181" s="10">
        <v>1629</v>
      </c>
      <c r="E181" s="35" t="s">
        <v>528</v>
      </c>
      <c r="F181" s="35" t="s">
        <v>529</v>
      </c>
      <c r="G181" s="5" t="s">
        <v>1037</v>
      </c>
      <c r="H181" s="5" t="s">
        <v>718</v>
      </c>
      <c r="I181" s="5" t="s">
        <v>17</v>
      </c>
      <c r="J181" s="10">
        <v>1631</v>
      </c>
      <c r="K181" s="11">
        <v>2.0559999942779541</v>
      </c>
      <c r="L181" s="12">
        <v>0</v>
      </c>
      <c r="M181" s="5"/>
      <c r="N181" s="5" t="s">
        <v>1042</v>
      </c>
      <c r="O181" s="5" t="s">
        <v>1043</v>
      </c>
    </row>
    <row r="182" spans="1:15">
      <c r="A182" s="6" t="s">
        <v>1037</v>
      </c>
      <c r="B182" s="6" t="s">
        <v>1044</v>
      </c>
      <c r="C182" s="6" t="s">
        <v>45</v>
      </c>
      <c r="D182" s="7">
        <v>1631</v>
      </c>
      <c r="E182" s="7" t="s">
        <v>528</v>
      </c>
      <c r="F182" s="7" t="s">
        <v>529</v>
      </c>
      <c r="G182" s="6" t="s">
        <v>1037</v>
      </c>
      <c r="H182" s="6" t="s">
        <v>702</v>
      </c>
      <c r="I182" s="6" t="s">
        <v>280</v>
      </c>
      <c r="J182" s="7">
        <v>1636</v>
      </c>
      <c r="K182" s="8">
        <v>5.2170000076293945</v>
      </c>
      <c r="L182" s="9">
        <v>0</v>
      </c>
      <c r="M182" s="6"/>
      <c r="N182" s="6" t="s">
        <v>1045</v>
      </c>
      <c r="O182" s="6" t="s">
        <v>1046</v>
      </c>
    </row>
    <row r="183" spans="1:15">
      <c r="A183" s="5" t="s">
        <v>1037</v>
      </c>
      <c r="B183" s="5" t="s">
        <v>64</v>
      </c>
      <c r="C183" s="5" t="s">
        <v>280</v>
      </c>
      <c r="D183" s="10">
        <v>1636</v>
      </c>
      <c r="E183" s="35" t="s">
        <v>528</v>
      </c>
      <c r="F183" s="35" t="s">
        <v>529</v>
      </c>
      <c r="G183" s="5" t="s">
        <v>1037</v>
      </c>
      <c r="H183" s="5" t="s">
        <v>1047</v>
      </c>
      <c r="I183" s="5" t="s">
        <v>534</v>
      </c>
      <c r="J183" s="10">
        <v>1637</v>
      </c>
      <c r="K183" s="11">
        <v>1.2139999866485596</v>
      </c>
      <c r="L183" s="12">
        <v>0</v>
      </c>
      <c r="M183" s="5"/>
      <c r="N183" s="5" t="s">
        <v>373</v>
      </c>
      <c r="O183" s="5" t="s">
        <v>1048</v>
      </c>
    </row>
    <row r="184" spans="1:15">
      <c r="A184" s="6" t="s">
        <v>1037</v>
      </c>
      <c r="B184" s="6" t="s">
        <v>837</v>
      </c>
      <c r="C184" s="6" t="s">
        <v>534</v>
      </c>
      <c r="D184" s="7">
        <v>1637</v>
      </c>
      <c r="E184" s="7" t="s">
        <v>528</v>
      </c>
      <c r="F184" s="7" t="s">
        <v>529</v>
      </c>
      <c r="G184" s="6" t="s">
        <v>1037</v>
      </c>
      <c r="H184" s="6" t="s">
        <v>817</v>
      </c>
      <c r="I184" s="6" t="s">
        <v>17</v>
      </c>
      <c r="J184" s="7">
        <v>1641</v>
      </c>
      <c r="K184" s="8">
        <v>4.0269999504089355</v>
      </c>
      <c r="L184" s="9">
        <v>0</v>
      </c>
      <c r="M184" s="6"/>
      <c r="N184" s="6" t="s">
        <v>265</v>
      </c>
      <c r="O184" s="6" t="s">
        <v>1049</v>
      </c>
    </row>
    <row r="185" spans="1:15">
      <c r="A185" s="5" t="s">
        <v>1050</v>
      </c>
      <c r="B185" s="5" t="s">
        <v>962</v>
      </c>
      <c r="C185" s="5" t="s">
        <v>17</v>
      </c>
      <c r="D185" s="10">
        <v>1641</v>
      </c>
      <c r="E185" s="35" t="s">
        <v>528</v>
      </c>
      <c r="F185" s="35" t="s">
        <v>529</v>
      </c>
      <c r="G185" s="5" t="s">
        <v>1050</v>
      </c>
      <c r="H185" s="5" t="s">
        <v>1051</v>
      </c>
      <c r="I185" s="5" t="s">
        <v>110</v>
      </c>
      <c r="J185" s="10">
        <v>1648</v>
      </c>
      <c r="K185" s="11">
        <v>6.9260001182556152</v>
      </c>
      <c r="L185" s="12">
        <v>0</v>
      </c>
      <c r="M185" s="5"/>
      <c r="N185" s="5" t="s">
        <v>1052</v>
      </c>
      <c r="O185" s="5" t="s">
        <v>1053</v>
      </c>
    </row>
    <row r="186" spans="1:15">
      <c r="A186" s="6" t="s">
        <v>1050</v>
      </c>
      <c r="B186" s="6" t="s">
        <v>739</v>
      </c>
      <c r="C186" s="6" t="s">
        <v>110</v>
      </c>
      <c r="D186" s="7">
        <v>1648</v>
      </c>
      <c r="E186" s="7" t="s">
        <v>528</v>
      </c>
      <c r="F186" s="7" t="s">
        <v>529</v>
      </c>
      <c r="G186" s="6" t="s">
        <v>1050</v>
      </c>
      <c r="H186" s="6" t="s">
        <v>49</v>
      </c>
      <c r="I186" s="6" t="s">
        <v>17</v>
      </c>
      <c r="J186" s="7">
        <v>1655</v>
      </c>
      <c r="K186" s="8">
        <v>6.9600000381469727</v>
      </c>
      <c r="L186" s="9">
        <v>0</v>
      </c>
      <c r="M186" s="6"/>
      <c r="N186" s="6" t="s">
        <v>1054</v>
      </c>
      <c r="O186" s="6" t="s">
        <v>1055</v>
      </c>
    </row>
    <row r="187" spans="1:15">
      <c r="A187" s="5" t="s">
        <v>1056</v>
      </c>
      <c r="B187" s="5" t="s">
        <v>144</v>
      </c>
      <c r="C187" s="5" t="s">
        <v>17</v>
      </c>
      <c r="D187" s="10">
        <v>1655</v>
      </c>
      <c r="E187" s="35" t="s">
        <v>528</v>
      </c>
      <c r="F187" s="35" t="s">
        <v>529</v>
      </c>
      <c r="G187" s="5" t="s">
        <v>1056</v>
      </c>
      <c r="H187" s="5" t="s">
        <v>666</v>
      </c>
      <c r="I187" s="5" t="s">
        <v>1057</v>
      </c>
      <c r="J187" s="10">
        <v>1701</v>
      </c>
      <c r="K187" s="11">
        <v>45.536998748779297</v>
      </c>
      <c r="L187" s="12">
        <v>0</v>
      </c>
      <c r="M187" s="5"/>
      <c r="N187" s="5" t="s">
        <v>1058</v>
      </c>
      <c r="O187" s="5" t="s">
        <v>1059</v>
      </c>
    </row>
    <row r="188" spans="1:15">
      <c r="A188" s="6" t="s">
        <v>1056</v>
      </c>
      <c r="B188" s="6" t="s">
        <v>1060</v>
      </c>
      <c r="C188" s="6" t="s">
        <v>1057</v>
      </c>
      <c r="D188" s="7">
        <v>1701</v>
      </c>
      <c r="E188" s="7" t="s">
        <v>528</v>
      </c>
      <c r="F188" s="7" t="s">
        <v>529</v>
      </c>
      <c r="G188" s="6" t="s">
        <v>1056</v>
      </c>
      <c r="H188" s="6" t="s">
        <v>1061</v>
      </c>
      <c r="I188" s="6" t="s">
        <v>17</v>
      </c>
      <c r="J188" s="7">
        <v>1744</v>
      </c>
      <c r="K188" s="8">
        <v>43.397998809814453</v>
      </c>
      <c r="L188" s="9">
        <v>0</v>
      </c>
      <c r="M188" s="6"/>
      <c r="N188" s="6" t="s">
        <v>1062</v>
      </c>
      <c r="O188" s="6" t="s">
        <v>1063</v>
      </c>
    </row>
    <row r="189" spans="1:15">
      <c r="A189" s="5" t="s">
        <v>1064</v>
      </c>
      <c r="B189" s="5" t="s">
        <v>119</v>
      </c>
      <c r="C189" s="5" t="s">
        <v>17</v>
      </c>
      <c r="D189" s="10">
        <v>1744</v>
      </c>
      <c r="E189" s="35" t="s">
        <v>528</v>
      </c>
      <c r="F189" s="35" t="s">
        <v>529</v>
      </c>
      <c r="G189" s="5" t="s">
        <v>1064</v>
      </c>
      <c r="H189" s="5" t="s">
        <v>344</v>
      </c>
      <c r="I189" s="5" t="s">
        <v>410</v>
      </c>
      <c r="J189" s="10">
        <v>1745</v>
      </c>
      <c r="K189" s="11">
        <v>0.84700000286102295</v>
      </c>
      <c r="L189" s="12">
        <v>0</v>
      </c>
      <c r="M189" s="5"/>
      <c r="N189" s="5" t="s">
        <v>498</v>
      </c>
      <c r="O189" s="5" t="s">
        <v>1065</v>
      </c>
    </row>
    <row r="190" spans="1:15">
      <c r="A190" s="6" t="s">
        <v>1064</v>
      </c>
      <c r="B190" s="6" t="s">
        <v>76</v>
      </c>
      <c r="C190" s="6" t="s">
        <v>410</v>
      </c>
      <c r="D190" s="7">
        <v>1745</v>
      </c>
      <c r="E190" s="7" t="s">
        <v>528</v>
      </c>
      <c r="F190" s="7" t="s">
        <v>529</v>
      </c>
      <c r="G190" s="6" t="s">
        <v>1064</v>
      </c>
      <c r="H190" s="6" t="s">
        <v>80</v>
      </c>
      <c r="I190" s="6" t="s">
        <v>17</v>
      </c>
      <c r="J190" s="7">
        <v>1746</v>
      </c>
      <c r="K190" s="8">
        <v>1.0219999551773071</v>
      </c>
      <c r="L190" s="9">
        <v>0</v>
      </c>
      <c r="M190" s="6"/>
      <c r="N190" s="6" t="s">
        <v>1066</v>
      </c>
      <c r="O190" s="6" t="s">
        <v>1067</v>
      </c>
    </row>
    <row r="191" spans="1:15">
      <c r="A191" s="5" t="s">
        <v>1064</v>
      </c>
      <c r="B191" s="5" t="s">
        <v>156</v>
      </c>
      <c r="C191" s="5" t="s">
        <v>17</v>
      </c>
      <c r="D191" s="10">
        <v>1746</v>
      </c>
      <c r="E191" s="35" t="s">
        <v>528</v>
      </c>
      <c r="F191" s="35" t="s">
        <v>529</v>
      </c>
      <c r="G191" s="5" t="s">
        <v>1064</v>
      </c>
      <c r="H191" s="5" t="s">
        <v>180</v>
      </c>
      <c r="I191" s="5" t="s">
        <v>17</v>
      </c>
      <c r="J191" s="10">
        <v>1746</v>
      </c>
      <c r="K191" s="11">
        <v>0.22900000214576721</v>
      </c>
      <c r="L191" s="12">
        <v>0</v>
      </c>
      <c r="M191" s="5"/>
      <c r="N191" s="5" t="s">
        <v>994</v>
      </c>
      <c r="O191" s="5" t="s">
        <v>1068</v>
      </c>
    </row>
    <row r="192" spans="1:15">
      <c r="A192" s="6" t="s">
        <v>1069</v>
      </c>
      <c r="B192" s="6" t="s">
        <v>58</v>
      </c>
      <c r="C192" s="6" t="s">
        <v>17</v>
      </c>
      <c r="D192" s="7">
        <v>1746</v>
      </c>
      <c r="E192" s="7" t="s">
        <v>528</v>
      </c>
      <c r="F192" s="7" t="s">
        <v>529</v>
      </c>
      <c r="G192" s="6" t="s">
        <v>1069</v>
      </c>
      <c r="H192" s="6" t="s">
        <v>505</v>
      </c>
      <c r="I192" s="6" t="s">
        <v>1070</v>
      </c>
      <c r="J192" s="7">
        <v>1747</v>
      </c>
      <c r="K192" s="8">
        <v>0.8970000147819519</v>
      </c>
      <c r="L192" s="9">
        <v>0</v>
      </c>
      <c r="M192" s="6"/>
      <c r="N192" s="6" t="s">
        <v>1071</v>
      </c>
      <c r="O192" s="6" t="s">
        <v>1072</v>
      </c>
    </row>
    <row r="193" spans="1:15">
      <c r="A193" s="5" t="s">
        <v>1069</v>
      </c>
      <c r="B193" s="5" t="s">
        <v>509</v>
      </c>
      <c r="C193" s="5" t="s">
        <v>1070</v>
      </c>
      <c r="D193" s="10">
        <v>1747</v>
      </c>
      <c r="E193" s="35" t="s">
        <v>528</v>
      </c>
      <c r="F193" s="35" t="s">
        <v>529</v>
      </c>
      <c r="G193" s="5" t="s">
        <v>1069</v>
      </c>
      <c r="H193" s="5" t="s">
        <v>375</v>
      </c>
      <c r="I193" s="5" t="s">
        <v>17</v>
      </c>
      <c r="J193" s="10">
        <v>1750</v>
      </c>
      <c r="K193" s="11">
        <v>2.7000000476837158</v>
      </c>
      <c r="L193" s="12">
        <v>0</v>
      </c>
      <c r="M193" s="5"/>
      <c r="N193" s="5" t="s">
        <v>628</v>
      </c>
      <c r="O193" s="5" t="s">
        <v>1073</v>
      </c>
    </row>
    <row r="194" spans="1:15">
      <c r="A194" s="6" t="s">
        <v>1074</v>
      </c>
      <c r="B194" s="6" t="s">
        <v>437</v>
      </c>
      <c r="C194" s="6" t="s">
        <v>17</v>
      </c>
      <c r="D194" s="7">
        <v>1750</v>
      </c>
      <c r="E194" s="7" t="s">
        <v>528</v>
      </c>
      <c r="F194" s="7" t="s">
        <v>529</v>
      </c>
      <c r="G194" s="6" t="s">
        <v>1074</v>
      </c>
      <c r="H194" s="6" t="s">
        <v>809</v>
      </c>
      <c r="I194" s="6" t="s">
        <v>85</v>
      </c>
      <c r="J194" s="7">
        <v>1755</v>
      </c>
      <c r="K194" s="8">
        <v>5.4310002326965332</v>
      </c>
      <c r="L194" s="9">
        <v>0</v>
      </c>
      <c r="M194" s="6"/>
      <c r="N194" s="6" t="s">
        <v>1075</v>
      </c>
      <c r="O194" s="6" t="s">
        <v>1076</v>
      </c>
    </row>
    <row r="195" spans="1:15">
      <c r="A195" s="5" t="s">
        <v>1074</v>
      </c>
      <c r="B195" s="5" t="s">
        <v>702</v>
      </c>
      <c r="C195" s="5" t="s">
        <v>85</v>
      </c>
      <c r="D195" s="10">
        <v>1755</v>
      </c>
      <c r="E195" s="35" t="s">
        <v>528</v>
      </c>
      <c r="F195" s="35" t="s">
        <v>529</v>
      </c>
      <c r="G195" s="5" t="s">
        <v>1074</v>
      </c>
      <c r="H195" s="5" t="s">
        <v>736</v>
      </c>
      <c r="I195" s="5" t="s">
        <v>280</v>
      </c>
      <c r="J195" s="10">
        <v>1756</v>
      </c>
      <c r="K195" s="11">
        <v>1.2680000066757202</v>
      </c>
      <c r="L195" s="12">
        <v>0</v>
      </c>
      <c r="M195" s="5"/>
      <c r="N195" s="5" t="s">
        <v>1077</v>
      </c>
      <c r="O195" s="5" t="s">
        <v>187</v>
      </c>
    </row>
    <row r="196" spans="1:15">
      <c r="A196" s="6" t="s">
        <v>1074</v>
      </c>
      <c r="B196" s="6" t="s">
        <v>739</v>
      </c>
      <c r="C196" s="6" t="s">
        <v>280</v>
      </c>
      <c r="D196" s="7">
        <v>1756</v>
      </c>
      <c r="E196" s="7" t="s">
        <v>528</v>
      </c>
      <c r="F196" s="7" t="s">
        <v>529</v>
      </c>
      <c r="G196" s="6" t="s">
        <v>1074</v>
      </c>
      <c r="H196" s="6" t="s">
        <v>601</v>
      </c>
      <c r="I196" s="6" t="s">
        <v>1078</v>
      </c>
      <c r="J196" s="7">
        <v>1758</v>
      </c>
      <c r="K196" s="8">
        <v>1.406999945640564</v>
      </c>
      <c r="L196" s="9">
        <v>0</v>
      </c>
      <c r="M196" s="6"/>
      <c r="N196" s="6" t="s">
        <v>967</v>
      </c>
      <c r="O196" s="6" t="s">
        <v>1079</v>
      </c>
    </row>
    <row r="197" spans="1:15">
      <c r="A197" s="5" t="s">
        <v>1074</v>
      </c>
      <c r="B197" s="5" t="s">
        <v>837</v>
      </c>
      <c r="C197" s="5" t="s">
        <v>1078</v>
      </c>
      <c r="D197" s="10">
        <v>1758</v>
      </c>
      <c r="E197" s="35" t="s">
        <v>528</v>
      </c>
      <c r="F197" s="35" t="s">
        <v>529</v>
      </c>
      <c r="G197" s="5" t="s">
        <v>1074</v>
      </c>
      <c r="H197" s="5" t="s">
        <v>627</v>
      </c>
      <c r="I197" s="5" t="s">
        <v>1080</v>
      </c>
      <c r="J197" s="10">
        <v>1759</v>
      </c>
      <c r="K197" s="11">
        <v>0.92900002002716064</v>
      </c>
      <c r="L197" s="12">
        <v>0</v>
      </c>
      <c r="M197" s="5"/>
      <c r="N197" s="5" t="s">
        <v>478</v>
      </c>
      <c r="O197" s="5" t="s">
        <v>1081</v>
      </c>
    </row>
    <row r="198" spans="1:15">
      <c r="A198" s="6" t="s">
        <v>1074</v>
      </c>
      <c r="B198" s="6" t="s">
        <v>627</v>
      </c>
      <c r="C198" s="6" t="s">
        <v>1080</v>
      </c>
      <c r="D198" s="7">
        <v>1759</v>
      </c>
      <c r="E198" s="7" t="s">
        <v>528</v>
      </c>
      <c r="F198" s="7" t="s">
        <v>529</v>
      </c>
      <c r="G198" s="6" t="s">
        <v>1074</v>
      </c>
      <c r="H198" s="6" t="s">
        <v>261</v>
      </c>
      <c r="I198" s="6" t="s">
        <v>17</v>
      </c>
      <c r="J198" s="7">
        <v>1762</v>
      </c>
      <c r="K198" s="8">
        <v>3.4879999160766602</v>
      </c>
      <c r="L198" s="9">
        <v>0</v>
      </c>
      <c r="M198" s="6"/>
      <c r="N198" s="6" t="s">
        <v>572</v>
      </c>
      <c r="O198" s="6" t="s">
        <v>1082</v>
      </c>
    </row>
    <row r="199" spans="1:15">
      <c r="A199" s="5" t="s">
        <v>1074</v>
      </c>
      <c r="B199" s="5" t="s">
        <v>456</v>
      </c>
      <c r="C199" s="5" t="s">
        <v>17</v>
      </c>
      <c r="D199" s="10">
        <v>1762</v>
      </c>
      <c r="E199" s="35" t="s">
        <v>528</v>
      </c>
      <c r="F199" s="35" t="s">
        <v>529</v>
      </c>
      <c r="G199" s="5" t="s">
        <v>1074</v>
      </c>
      <c r="H199" s="5" t="s">
        <v>1083</v>
      </c>
      <c r="I199" s="5" t="s">
        <v>1078</v>
      </c>
      <c r="J199" s="10">
        <v>1766</v>
      </c>
      <c r="K199" s="11">
        <v>3.9920001029968262</v>
      </c>
      <c r="L199" s="12">
        <v>0</v>
      </c>
      <c r="M199" s="5"/>
      <c r="N199" s="5" t="s">
        <v>880</v>
      </c>
      <c r="O199" s="5" t="s">
        <v>928</v>
      </c>
    </row>
    <row r="200" spans="1:15">
      <c r="A200" s="6" t="s">
        <v>1074</v>
      </c>
      <c r="B200" s="6" t="s">
        <v>264</v>
      </c>
      <c r="C200" s="6" t="s">
        <v>1078</v>
      </c>
      <c r="D200" s="7">
        <v>1766</v>
      </c>
      <c r="E200" s="7" t="s">
        <v>528</v>
      </c>
      <c r="F200" s="7" t="s">
        <v>529</v>
      </c>
      <c r="G200" s="6" t="s">
        <v>1074</v>
      </c>
      <c r="H200" s="6" t="s">
        <v>23</v>
      </c>
      <c r="I200" s="6" t="s">
        <v>17</v>
      </c>
      <c r="J200" s="7">
        <v>1770</v>
      </c>
      <c r="K200" s="8">
        <v>4.2899999618530273</v>
      </c>
      <c r="L200" s="9">
        <v>0</v>
      </c>
      <c r="M200" s="6"/>
      <c r="N200" s="6" t="s">
        <v>1084</v>
      </c>
      <c r="O200" s="6" t="s">
        <v>1085</v>
      </c>
    </row>
    <row r="201" spans="1:15">
      <c r="A201" s="5" t="s">
        <v>1074</v>
      </c>
      <c r="B201" s="5" t="s">
        <v>1086</v>
      </c>
      <c r="C201" s="5" t="s">
        <v>17</v>
      </c>
      <c r="D201" s="10">
        <v>1771</v>
      </c>
      <c r="E201" s="35" t="s">
        <v>528</v>
      </c>
      <c r="F201" s="35" t="s">
        <v>529</v>
      </c>
      <c r="G201" s="5" t="s">
        <v>1074</v>
      </c>
      <c r="H201" s="5" t="s">
        <v>1087</v>
      </c>
      <c r="I201" s="5" t="s">
        <v>1088</v>
      </c>
      <c r="J201" s="10">
        <v>1782</v>
      </c>
      <c r="K201" s="11">
        <v>11.215000152587891</v>
      </c>
      <c r="L201" s="12">
        <v>0</v>
      </c>
      <c r="M201" s="5"/>
      <c r="N201" s="5" t="s">
        <v>1089</v>
      </c>
      <c r="O201" s="5" t="s">
        <v>1090</v>
      </c>
    </row>
    <row r="202" spans="1:15">
      <c r="A202" s="6" t="s">
        <v>1091</v>
      </c>
      <c r="B202" s="6" t="s">
        <v>1092</v>
      </c>
      <c r="C202" s="6" t="s">
        <v>1088</v>
      </c>
      <c r="D202" s="7">
        <v>1782</v>
      </c>
      <c r="E202" s="7" t="s">
        <v>528</v>
      </c>
      <c r="F202" s="7" t="s">
        <v>529</v>
      </c>
      <c r="G202" s="6" t="s">
        <v>1091</v>
      </c>
      <c r="H202" s="6" t="s">
        <v>1093</v>
      </c>
      <c r="I202" s="6" t="s">
        <v>419</v>
      </c>
      <c r="J202" s="7">
        <v>1788</v>
      </c>
      <c r="K202" s="8">
        <v>5.7890000343322754</v>
      </c>
      <c r="L202" s="9">
        <v>0</v>
      </c>
      <c r="M202" s="6"/>
      <c r="N202" s="6" t="s">
        <v>336</v>
      </c>
      <c r="O202" s="6" t="s">
        <v>752</v>
      </c>
    </row>
    <row r="203" spans="1:15">
      <c r="A203" s="5" t="s">
        <v>1091</v>
      </c>
      <c r="B203" s="5" t="s">
        <v>446</v>
      </c>
      <c r="C203" s="5" t="s">
        <v>419</v>
      </c>
      <c r="D203" s="10">
        <v>1788</v>
      </c>
      <c r="E203" s="35" t="s">
        <v>528</v>
      </c>
      <c r="F203" s="35" t="s">
        <v>529</v>
      </c>
      <c r="G203" s="5" t="s">
        <v>1091</v>
      </c>
      <c r="H203" s="5" t="s">
        <v>449</v>
      </c>
      <c r="I203" s="5" t="s">
        <v>17</v>
      </c>
      <c r="J203" s="10">
        <v>1793</v>
      </c>
      <c r="K203" s="11">
        <v>5.3819999694824219</v>
      </c>
      <c r="L203" s="12">
        <v>0</v>
      </c>
      <c r="M203" s="5"/>
      <c r="N203" s="5" t="s">
        <v>336</v>
      </c>
      <c r="O203" s="5" t="s">
        <v>1094</v>
      </c>
    </row>
    <row r="204" spans="1:15">
      <c r="A204" s="6" t="s">
        <v>1095</v>
      </c>
      <c r="B204" s="6" t="s">
        <v>703</v>
      </c>
      <c r="C204" s="6" t="s">
        <v>17</v>
      </c>
      <c r="D204" s="7">
        <v>1793</v>
      </c>
      <c r="E204" s="7" t="s">
        <v>528</v>
      </c>
      <c r="F204" s="7" t="s">
        <v>529</v>
      </c>
      <c r="G204" s="6" t="s">
        <v>1095</v>
      </c>
      <c r="H204" s="6" t="s">
        <v>171</v>
      </c>
      <c r="I204" s="6" t="s">
        <v>1096</v>
      </c>
      <c r="J204" s="7">
        <v>1805</v>
      </c>
      <c r="K204" s="8">
        <v>11.881999969482422</v>
      </c>
      <c r="L204" s="9">
        <v>0</v>
      </c>
      <c r="M204" s="6"/>
      <c r="N204" s="6" t="s">
        <v>1097</v>
      </c>
      <c r="O204" s="6" t="s">
        <v>1098</v>
      </c>
    </row>
    <row r="205" spans="1:15">
      <c r="A205" s="5" t="s">
        <v>1095</v>
      </c>
      <c r="B205" s="5" t="s">
        <v>817</v>
      </c>
      <c r="C205" s="5" t="s">
        <v>1096</v>
      </c>
      <c r="D205" s="10">
        <v>1805</v>
      </c>
      <c r="E205" s="35" t="s">
        <v>528</v>
      </c>
      <c r="F205" s="35" t="s">
        <v>529</v>
      </c>
      <c r="G205" s="5" t="s">
        <v>1095</v>
      </c>
      <c r="H205" s="5" t="s">
        <v>1083</v>
      </c>
      <c r="I205" s="5" t="s">
        <v>1078</v>
      </c>
      <c r="J205" s="10">
        <v>1814</v>
      </c>
      <c r="K205" s="11">
        <v>9.2799997329711914</v>
      </c>
      <c r="L205" s="12">
        <v>0</v>
      </c>
      <c r="M205" s="5"/>
      <c r="N205" s="5" t="s">
        <v>1099</v>
      </c>
      <c r="O205" s="5" t="s">
        <v>1100</v>
      </c>
    </row>
    <row r="206" spans="1:15">
      <c r="A206" s="6" t="s">
        <v>1095</v>
      </c>
      <c r="B206" s="6" t="s">
        <v>180</v>
      </c>
      <c r="C206" s="6" t="s">
        <v>1078</v>
      </c>
      <c r="D206" s="7">
        <v>1814</v>
      </c>
      <c r="E206" s="7" t="s">
        <v>528</v>
      </c>
      <c r="F206" s="7" t="s">
        <v>529</v>
      </c>
      <c r="G206" s="6" t="s">
        <v>1095</v>
      </c>
      <c r="H206" s="6" t="s">
        <v>898</v>
      </c>
      <c r="I206" s="6" t="s">
        <v>1101</v>
      </c>
      <c r="J206" s="7">
        <v>1818</v>
      </c>
      <c r="K206" s="8">
        <v>3.4649999141693115</v>
      </c>
      <c r="L206" s="9">
        <v>0</v>
      </c>
      <c r="M206" s="6"/>
      <c r="N206" s="6" t="s">
        <v>1102</v>
      </c>
      <c r="O206" s="6" t="s">
        <v>41</v>
      </c>
    </row>
    <row r="207" spans="1:15">
      <c r="A207" s="5" t="s">
        <v>1095</v>
      </c>
      <c r="B207" s="5" t="s">
        <v>471</v>
      </c>
      <c r="C207" s="5" t="s">
        <v>1101</v>
      </c>
      <c r="D207" s="10">
        <v>1818</v>
      </c>
      <c r="E207" s="35" t="s">
        <v>528</v>
      </c>
      <c r="F207" s="35" t="s">
        <v>529</v>
      </c>
      <c r="G207" s="5" t="s">
        <v>1095</v>
      </c>
      <c r="H207" s="5" t="s">
        <v>1103</v>
      </c>
      <c r="I207" s="5" t="s">
        <v>17</v>
      </c>
      <c r="J207" s="10">
        <v>1819</v>
      </c>
      <c r="K207" s="11">
        <v>1.2000000476837158</v>
      </c>
      <c r="L207" s="12">
        <v>0</v>
      </c>
      <c r="M207" s="5"/>
      <c r="N207" s="5" t="s">
        <v>236</v>
      </c>
      <c r="O207" s="5" t="s">
        <v>1104</v>
      </c>
    </row>
    <row r="208" spans="1:15">
      <c r="A208" s="6" t="s">
        <v>1105</v>
      </c>
      <c r="B208" s="6" t="s">
        <v>1106</v>
      </c>
      <c r="C208" s="6" t="s">
        <v>17</v>
      </c>
      <c r="D208" s="7">
        <v>1819</v>
      </c>
      <c r="E208" s="7" t="s">
        <v>528</v>
      </c>
      <c r="F208" s="7" t="s">
        <v>529</v>
      </c>
      <c r="G208" s="6" t="s">
        <v>1105</v>
      </c>
      <c r="H208" s="6" t="s">
        <v>1107</v>
      </c>
      <c r="I208" s="6" t="s">
        <v>428</v>
      </c>
      <c r="J208" s="7">
        <v>1820</v>
      </c>
      <c r="K208" s="8">
        <v>1.2170000076293945</v>
      </c>
      <c r="L208" s="9">
        <v>0</v>
      </c>
      <c r="M208" s="6"/>
      <c r="N208" s="6" t="s">
        <v>1108</v>
      </c>
      <c r="O208" s="6" t="s">
        <v>701</v>
      </c>
    </row>
    <row r="209" spans="1:15">
      <c r="A209" s="5" t="s">
        <v>1105</v>
      </c>
      <c r="B209" s="5" t="s">
        <v>573</v>
      </c>
      <c r="C209" s="5" t="s">
        <v>428</v>
      </c>
      <c r="D209" s="10">
        <v>1820</v>
      </c>
      <c r="E209" s="35" t="s">
        <v>528</v>
      </c>
      <c r="F209" s="35" t="s">
        <v>529</v>
      </c>
      <c r="G209" s="5" t="s">
        <v>1105</v>
      </c>
      <c r="H209" s="5" t="s">
        <v>1109</v>
      </c>
      <c r="I209" s="5" t="s">
        <v>17</v>
      </c>
      <c r="J209" s="10">
        <v>1821</v>
      </c>
      <c r="K209" s="11">
        <v>1.2330000400543213</v>
      </c>
      <c r="L209" s="12">
        <v>0</v>
      </c>
      <c r="M209" s="5"/>
      <c r="N209" s="5" t="s">
        <v>270</v>
      </c>
      <c r="O209" s="5" t="s">
        <v>1110</v>
      </c>
    </row>
    <row r="210" spans="1:15">
      <c r="A210" s="6" t="s">
        <v>1111</v>
      </c>
      <c r="B210" s="6" t="s">
        <v>1112</v>
      </c>
      <c r="C210" s="6" t="s">
        <v>17</v>
      </c>
      <c r="D210" s="7">
        <v>1822</v>
      </c>
      <c r="E210" s="7" t="s">
        <v>528</v>
      </c>
      <c r="F210" s="7" t="s">
        <v>529</v>
      </c>
      <c r="G210" s="6" t="s">
        <v>1111</v>
      </c>
      <c r="H210" s="6" t="s">
        <v>871</v>
      </c>
      <c r="I210" s="6" t="s">
        <v>506</v>
      </c>
      <c r="J210" s="7">
        <v>1823</v>
      </c>
      <c r="K210" s="8">
        <v>1.4910000562667847</v>
      </c>
      <c r="L210" s="9">
        <v>0</v>
      </c>
      <c r="M210" s="6"/>
      <c r="N210" s="6" t="s">
        <v>1113</v>
      </c>
      <c r="O210" s="6" t="s">
        <v>1114</v>
      </c>
    </row>
    <row r="211" spans="1:15">
      <c r="A211" s="5" t="s">
        <v>1111</v>
      </c>
      <c r="B211" s="5" t="s">
        <v>1115</v>
      </c>
      <c r="C211" s="5" t="s">
        <v>506</v>
      </c>
      <c r="D211" s="10">
        <v>1823</v>
      </c>
      <c r="E211" s="35" t="s">
        <v>528</v>
      </c>
      <c r="F211" s="35" t="s">
        <v>529</v>
      </c>
      <c r="G211" s="5" t="s">
        <v>1111</v>
      </c>
      <c r="H211" s="5" t="s">
        <v>1116</v>
      </c>
      <c r="I211" s="5" t="s">
        <v>17</v>
      </c>
      <c r="J211" s="10">
        <v>1825</v>
      </c>
      <c r="K211" s="11">
        <v>1.5360000133514404</v>
      </c>
      <c r="L211" s="12">
        <v>0</v>
      </c>
      <c r="M211" s="5"/>
      <c r="N211" s="5" t="s">
        <v>303</v>
      </c>
      <c r="O211" s="5" t="s">
        <v>1117</v>
      </c>
    </row>
    <row r="212" spans="1:15">
      <c r="A212" s="6" t="s">
        <v>1118</v>
      </c>
      <c r="B212" s="6" t="s">
        <v>1119</v>
      </c>
      <c r="C212" s="6" t="s">
        <v>17</v>
      </c>
      <c r="D212" s="7">
        <v>1825</v>
      </c>
      <c r="E212" s="7" t="s">
        <v>528</v>
      </c>
      <c r="F212" s="7" t="s">
        <v>529</v>
      </c>
      <c r="G212" s="6" t="s">
        <v>1118</v>
      </c>
      <c r="H212" s="6" t="s">
        <v>593</v>
      </c>
      <c r="I212" s="6" t="s">
        <v>45</v>
      </c>
      <c r="J212" s="7">
        <v>1825</v>
      </c>
      <c r="K212" s="8">
        <v>0.29199999570846558</v>
      </c>
      <c r="L212" s="9">
        <v>0</v>
      </c>
      <c r="M212" s="6"/>
      <c r="N212" s="6" t="s">
        <v>1120</v>
      </c>
      <c r="O212" s="6" t="s">
        <v>1121</v>
      </c>
    </row>
    <row r="213" spans="1:15">
      <c r="A213" s="5" t="s">
        <v>1118</v>
      </c>
      <c r="B213" s="5" t="s">
        <v>1122</v>
      </c>
      <c r="C213" s="5" t="s">
        <v>45</v>
      </c>
      <c r="D213" s="10">
        <v>1825</v>
      </c>
      <c r="E213" s="35" t="s">
        <v>528</v>
      </c>
      <c r="F213" s="35" t="s">
        <v>529</v>
      </c>
      <c r="G213" s="5" t="s">
        <v>1118</v>
      </c>
      <c r="H213" s="5" t="s">
        <v>647</v>
      </c>
      <c r="I213" s="5" t="s">
        <v>45</v>
      </c>
      <c r="J213" s="10">
        <v>1825</v>
      </c>
      <c r="K213" s="11">
        <v>0.36300000548362732</v>
      </c>
      <c r="L213" s="12">
        <v>0</v>
      </c>
      <c r="M213" s="5"/>
      <c r="N213" s="5" t="s">
        <v>1123</v>
      </c>
      <c r="O213" s="5" t="s">
        <v>1124</v>
      </c>
    </row>
    <row r="214" spans="1:15">
      <c r="A214" s="6" t="s">
        <v>1125</v>
      </c>
      <c r="B214" s="6" t="s">
        <v>101</v>
      </c>
      <c r="C214" s="6" t="s">
        <v>17</v>
      </c>
      <c r="D214" s="7">
        <v>1825</v>
      </c>
      <c r="E214" s="7" t="s">
        <v>528</v>
      </c>
      <c r="F214" s="7" t="s">
        <v>529</v>
      </c>
      <c r="G214" s="6" t="s">
        <v>1125</v>
      </c>
      <c r="H214" s="6" t="s">
        <v>441</v>
      </c>
      <c r="I214" s="6" t="s">
        <v>428</v>
      </c>
      <c r="J214" s="7">
        <v>1826</v>
      </c>
      <c r="K214" s="8">
        <v>1.0069999694824219</v>
      </c>
      <c r="L214" s="9">
        <v>0</v>
      </c>
      <c r="M214" s="6"/>
      <c r="N214" s="6" t="s">
        <v>865</v>
      </c>
      <c r="O214" s="6" t="s">
        <v>1126</v>
      </c>
    </row>
    <row r="215" spans="1:15">
      <c r="A215" s="5" t="s">
        <v>1125</v>
      </c>
      <c r="B215" s="5" t="s">
        <v>627</v>
      </c>
      <c r="C215" s="5" t="s">
        <v>428</v>
      </c>
      <c r="D215" s="10">
        <v>1826</v>
      </c>
      <c r="E215" s="35" t="s">
        <v>528</v>
      </c>
      <c r="F215" s="35" t="s">
        <v>529</v>
      </c>
      <c r="G215" s="5" t="s">
        <v>1125</v>
      </c>
      <c r="H215" s="5" t="s">
        <v>817</v>
      </c>
      <c r="I215" s="5" t="s">
        <v>17</v>
      </c>
      <c r="J215" s="10">
        <v>1828</v>
      </c>
      <c r="K215" s="11">
        <v>1.2289999723434448</v>
      </c>
      <c r="L215" s="12">
        <v>0</v>
      </c>
      <c r="M215" s="5"/>
      <c r="N215" s="5" t="s">
        <v>1127</v>
      </c>
      <c r="O215" s="5" t="s">
        <v>1128</v>
      </c>
    </row>
    <row r="216" spans="1:15">
      <c r="A216" s="6" t="s">
        <v>1125</v>
      </c>
      <c r="B216" s="6" t="s">
        <v>767</v>
      </c>
      <c r="C216" s="6" t="s">
        <v>17</v>
      </c>
      <c r="D216" s="7">
        <v>1828</v>
      </c>
      <c r="E216" s="7" t="s">
        <v>528</v>
      </c>
      <c r="F216" s="7" t="s">
        <v>529</v>
      </c>
      <c r="G216" s="6" t="s">
        <v>1125</v>
      </c>
      <c r="H216" s="6" t="s">
        <v>379</v>
      </c>
      <c r="I216" s="6" t="s">
        <v>1129</v>
      </c>
      <c r="J216" s="7">
        <v>1833</v>
      </c>
      <c r="K216" s="8">
        <v>5.3229999542236328</v>
      </c>
      <c r="L216" s="9">
        <v>0</v>
      </c>
      <c r="M216" s="6"/>
      <c r="N216" s="6" t="s">
        <v>128</v>
      </c>
      <c r="O216" s="6" t="s">
        <v>148</v>
      </c>
    </row>
    <row r="217" spans="1:15">
      <c r="A217" s="5" t="s">
        <v>1125</v>
      </c>
      <c r="B217" s="5" t="s">
        <v>1130</v>
      </c>
      <c r="C217" s="5" t="s">
        <v>1129</v>
      </c>
      <c r="D217" s="10">
        <v>1833</v>
      </c>
      <c r="E217" s="35" t="s">
        <v>528</v>
      </c>
      <c r="F217" s="35" t="s">
        <v>529</v>
      </c>
      <c r="G217" s="5" t="s">
        <v>1125</v>
      </c>
      <c r="H217" s="5" t="s">
        <v>186</v>
      </c>
      <c r="I217" s="5" t="s">
        <v>280</v>
      </c>
      <c r="J217" s="10">
        <v>1834</v>
      </c>
      <c r="K217" s="11">
        <v>1.2760000228881836</v>
      </c>
      <c r="L217" s="12">
        <v>0</v>
      </c>
      <c r="M217" s="5"/>
      <c r="N217" s="5" t="s">
        <v>1131</v>
      </c>
      <c r="O217" s="5" t="s">
        <v>1132</v>
      </c>
    </row>
    <row r="218" spans="1:15">
      <c r="A218" s="6" t="s">
        <v>1125</v>
      </c>
      <c r="B218" s="6" t="s">
        <v>879</v>
      </c>
      <c r="C218" s="6" t="s">
        <v>280</v>
      </c>
      <c r="D218" s="7">
        <v>1834</v>
      </c>
      <c r="E218" s="7" t="s">
        <v>528</v>
      </c>
      <c r="F218" s="7" t="s">
        <v>529</v>
      </c>
      <c r="G218" s="6" t="s">
        <v>1125</v>
      </c>
      <c r="H218" s="6" t="s">
        <v>351</v>
      </c>
      <c r="I218" s="6" t="s">
        <v>17</v>
      </c>
      <c r="J218" s="7">
        <v>1840</v>
      </c>
      <c r="K218" s="8">
        <v>5.8260002136230469</v>
      </c>
      <c r="L218" s="9">
        <v>0</v>
      </c>
      <c r="M218" s="6"/>
      <c r="N218" s="6" t="s">
        <v>472</v>
      </c>
      <c r="O218" s="6" t="s">
        <v>1133</v>
      </c>
    </row>
    <row r="219" spans="1:15">
      <c r="A219" s="5" t="s">
        <v>1134</v>
      </c>
      <c r="B219" s="5" t="s">
        <v>37</v>
      </c>
      <c r="C219" s="5" t="s">
        <v>17</v>
      </c>
      <c r="D219" s="10">
        <v>1840</v>
      </c>
      <c r="E219" s="35" t="s">
        <v>528</v>
      </c>
      <c r="F219" s="35" t="s">
        <v>529</v>
      </c>
      <c r="G219" s="5" t="s">
        <v>1134</v>
      </c>
      <c r="H219" s="5" t="s">
        <v>1135</v>
      </c>
      <c r="I219" s="5" t="s">
        <v>1136</v>
      </c>
      <c r="J219" s="10">
        <v>1848</v>
      </c>
      <c r="K219" s="11">
        <v>8.0260000228881836</v>
      </c>
      <c r="L219" s="12">
        <v>0</v>
      </c>
      <c r="M219" s="5"/>
      <c r="N219" s="5" t="s">
        <v>1137</v>
      </c>
      <c r="O219" s="5" t="s">
        <v>1138</v>
      </c>
    </row>
    <row r="220" spans="1:15">
      <c r="A220" s="6" t="s">
        <v>1134</v>
      </c>
      <c r="B220" s="6" t="s">
        <v>229</v>
      </c>
      <c r="C220" s="6" t="s">
        <v>1136</v>
      </c>
      <c r="D220" s="7">
        <v>1848</v>
      </c>
      <c r="E220" s="7" t="s">
        <v>528</v>
      </c>
      <c r="F220" s="7" t="s">
        <v>529</v>
      </c>
      <c r="G220" s="6" t="s">
        <v>1134</v>
      </c>
      <c r="H220" s="6" t="s">
        <v>235</v>
      </c>
      <c r="I220" s="6" t="s">
        <v>17</v>
      </c>
      <c r="J220" s="7">
        <v>1856</v>
      </c>
      <c r="K220" s="8">
        <v>8.008000373840332</v>
      </c>
      <c r="L220" s="9">
        <v>0</v>
      </c>
      <c r="M220" s="6"/>
      <c r="N220" s="6" t="s">
        <v>1139</v>
      </c>
      <c r="O220" s="6" t="s">
        <v>1140</v>
      </c>
    </row>
    <row r="221" spans="1:15">
      <c r="A221" s="5" t="s">
        <v>1134</v>
      </c>
      <c r="B221" s="5" t="s">
        <v>961</v>
      </c>
      <c r="C221" s="5" t="s">
        <v>17</v>
      </c>
      <c r="D221" s="10">
        <v>1856</v>
      </c>
      <c r="E221" s="35" t="s">
        <v>528</v>
      </c>
      <c r="F221" s="35" t="s">
        <v>529</v>
      </c>
      <c r="G221" s="5" t="s">
        <v>1134</v>
      </c>
      <c r="H221" s="5" t="s">
        <v>437</v>
      </c>
      <c r="I221" s="5" t="s">
        <v>713</v>
      </c>
      <c r="J221" s="10">
        <v>1858</v>
      </c>
      <c r="K221" s="11">
        <v>1.7450000047683716</v>
      </c>
      <c r="L221" s="12">
        <v>0</v>
      </c>
      <c r="M221" s="5"/>
      <c r="N221" s="5" t="s">
        <v>1141</v>
      </c>
      <c r="O221" s="5" t="s">
        <v>1142</v>
      </c>
    </row>
    <row r="222" spans="1:15">
      <c r="A222" s="6" t="s">
        <v>1134</v>
      </c>
      <c r="B222" s="6" t="s">
        <v>962</v>
      </c>
      <c r="C222" s="6" t="s">
        <v>713</v>
      </c>
      <c r="D222" s="7">
        <v>1858</v>
      </c>
      <c r="E222" s="7" t="s">
        <v>528</v>
      </c>
      <c r="F222" s="7" t="s">
        <v>529</v>
      </c>
      <c r="G222" s="6" t="s">
        <v>1134</v>
      </c>
      <c r="H222" s="6" t="s">
        <v>702</v>
      </c>
      <c r="I222" s="6" t="s">
        <v>50</v>
      </c>
      <c r="J222" s="7">
        <v>1866</v>
      </c>
      <c r="K222" s="8">
        <v>7.9330000877380371</v>
      </c>
      <c r="L222" s="9">
        <v>0</v>
      </c>
      <c r="M222" s="6"/>
      <c r="N222" s="6" t="s">
        <v>1143</v>
      </c>
      <c r="O222" s="6" t="s">
        <v>1144</v>
      </c>
    </row>
    <row r="223" spans="1:15">
      <c r="A223" s="5" t="s">
        <v>1134</v>
      </c>
      <c r="B223" s="5" t="s">
        <v>101</v>
      </c>
      <c r="C223" s="5" t="s">
        <v>50</v>
      </c>
      <c r="D223" s="10">
        <v>1866</v>
      </c>
      <c r="E223" s="35" t="s">
        <v>528</v>
      </c>
      <c r="F223" s="35" t="s">
        <v>529</v>
      </c>
      <c r="G223" s="5" t="s">
        <v>1134</v>
      </c>
      <c r="H223" s="5" t="s">
        <v>738</v>
      </c>
      <c r="I223" s="5" t="s">
        <v>85</v>
      </c>
      <c r="J223" s="10">
        <v>1870</v>
      </c>
      <c r="K223" s="11">
        <v>4.7890000343322754</v>
      </c>
      <c r="L223" s="12">
        <v>0</v>
      </c>
      <c r="M223" s="5"/>
      <c r="N223" s="5" t="s">
        <v>1145</v>
      </c>
      <c r="O223" s="5" t="s">
        <v>1146</v>
      </c>
    </row>
    <row r="224" spans="1:15">
      <c r="A224" s="6" t="s">
        <v>1134</v>
      </c>
      <c r="B224" s="6" t="s">
        <v>63</v>
      </c>
      <c r="C224" s="6" t="s">
        <v>419</v>
      </c>
      <c r="D224" s="7">
        <v>1871</v>
      </c>
      <c r="E224" s="7" t="s">
        <v>528</v>
      </c>
      <c r="F224" s="7" t="s">
        <v>529</v>
      </c>
      <c r="G224" s="6" t="s">
        <v>1134</v>
      </c>
      <c r="H224" s="6" t="s">
        <v>1047</v>
      </c>
      <c r="I224" s="6" t="s">
        <v>1147</v>
      </c>
      <c r="J224" s="7">
        <v>1874</v>
      </c>
      <c r="K224" s="8">
        <v>3.2899999618530273</v>
      </c>
      <c r="L224" s="9">
        <v>0</v>
      </c>
      <c r="M224" s="6"/>
      <c r="N224" s="6" t="s">
        <v>813</v>
      </c>
      <c r="O224" s="6" t="s">
        <v>1148</v>
      </c>
    </row>
    <row r="225" spans="1:15">
      <c r="A225" s="5" t="s">
        <v>1134</v>
      </c>
      <c r="B225" s="5" t="s">
        <v>456</v>
      </c>
      <c r="C225" s="5" t="s">
        <v>1147</v>
      </c>
      <c r="D225" s="10">
        <v>1874</v>
      </c>
      <c r="E225" s="35" t="s">
        <v>528</v>
      </c>
      <c r="F225" s="35" t="s">
        <v>529</v>
      </c>
      <c r="G225" s="5" t="s">
        <v>1134</v>
      </c>
      <c r="H225" s="5" t="s">
        <v>79</v>
      </c>
      <c r="I225" s="5" t="s">
        <v>17</v>
      </c>
      <c r="J225" s="10">
        <v>1878</v>
      </c>
      <c r="K225" s="11">
        <v>3.872999906539917</v>
      </c>
      <c r="L225" s="12">
        <v>0</v>
      </c>
      <c r="M225" s="5"/>
      <c r="N225" s="5" t="s">
        <v>1149</v>
      </c>
      <c r="O225" s="5" t="s">
        <v>1150</v>
      </c>
    </row>
    <row r="226" spans="1:15">
      <c r="A226" s="6" t="s">
        <v>1151</v>
      </c>
      <c r="B226" s="6" t="s">
        <v>462</v>
      </c>
      <c r="C226" s="6" t="s">
        <v>17</v>
      </c>
      <c r="D226" s="7">
        <v>1878</v>
      </c>
      <c r="E226" s="7" t="s">
        <v>528</v>
      </c>
      <c r="F226" s="7" t="s">
        <v>529</v>
      </c>
      <c r="G226" s="6" t="s">
        <v>1151</v>
      </c>
      <c r="H226" s="6" t="s">
        <v>355</v>
      </c>
      <c r="I226" s="6" t="s">
        <v>280</v>
      </c>
      <c r="J226" s="7">
        <v>1883</v>
      </c>
      <c r="K226" s="8">
        <v>5.375</v>
      </c>
      <c r="L226" s="9">
        <v>0</v>
      </c>
      <c r="M226" s="6"/>
      <c r="N226" s="6" t="s">
        <v>1042</v>
      </c>
      <c r="O226" s="6" t="s">
        <v>1152</v>
      </c>
    </row>
    <row r="227" spans="1:15">
      <c r="A227" s="5" t="s">
        <v>1151</v>
      </c>
      <c r="B227" s="5" t="s">
        <v>147</v>
      </c>
      <c r="C227" s="5" t="s">
        <v>280</v>
      </c>
      <c r="D227" s="10">
        <v>1883</v>
      </c>
      <c r="E227" s="35" t="s">
        <v>528</v>
      </c>
      <c r="F227" s="35" t="s">
        <v>529</v>
      </c>
      <c r="G227" s="5" t="s">
        <v>1151</v>
      </c>
      <c r="H227" s="5" t="s">
        <v>774</v>
      </c>
      <c r="I227" s="5" t="s">
        <v>29</v>
      </c>
      <c r="J227" s="10">
        <v>1888</v>
      </c>
      <c r="K227" s="11">
        <v>4.1820001602172852</v>
      </c>
      <c r="L227" s="12">
        <v>0</v>
      </c>
      <c r="M227" s="5"/>
      <c r="N227" s="5" t="s">
        <v>458</v>
      </c>
      <c r="O227" s="5" t="s">
        <v>1022</v>
      </c>
    </row>
    <row r="228" spans="1:15">
      <c r="A228" s="6" t="s">
        <v>1151</v>
      </c>
      <c r="B228" s="6" t="s">
        <v>593</v>
      </c>
      <c r="C228" s="6" t="s">
        <v>428</v>
      </c>
      <c r="D228" s="7">
        <v>1888</v>
      </c>
      <c r="E228" s="7" t="s">
        <v>528</v>
      </c>
      <c r="F228" s="7" t="s">
        <v>529</v>
      </c>
      <c r="G228" s="6" t="s">
        <v>1151</v>
      </c>
      <c r="H228" s="6" t="s">
        <v>662</v>
      </c>
      <c r="I228" s="6" t="s">
        <v>17</v>
      </c>
      <c r="J228" s="7">
        <v>1889</v>
      </c>
      <c r="K228" s="8">
        <v>1.3059999942779541</v>
      </c>
      <c r="L228" s="9">
        <v>0</v>
      </c>
      <c r="M228" s="6"/>
      <c r="N228" s="6" t="s">
        <v>569</v>
      </c>
      <c r="O228" s="6" t="s">
        <v>1153</v>
      </c>
    </row>
    <row r="229" spans="1:15">
      <c r="A229" s="5" t="s">
        <v>1151</v>
      </c>
      <c r="B229" s="5" t="s">
        <v>1154</v>
      </c>
      <c r="C229" s="5" t="s">
        <v>17</v>
      </c>
      <c r="D229" s="10">
        <v>1889</v>
      </c>
      <c r="E229" s="35" t="s">
        <v>528</v>
      </c>
      <c r="F229" s="35" t="s">
        <v>529</v>
      </c>
      <c r="G229" s="5" t="s">
        <v>1151</v>
      </c>
      <c r="H229" s="5" t="s">
        <v>1155</v>
      </c>
      <c r="I229" s="5" t="s">
        <v>17</v>
      </c>
      <c r="J229" s="10">
        <v>1889</v>
      </c>
      <c r="K229" s="11">
        <v>0.23100000619888306</v>
      </c>
      <c r="L229" s="12">
        <v>0</v>
      </c>
      <c r="M229" s="5"/>
      <c r="N229" s="5" t="s">
        <v>1156</v>
      </c>
      <c r="O229" s="5" t="s">
        <v>1157</v>
      </c>
    </row>
    <row r="230" spans="1:15">
      <c r="A230" s="6" t="s">
        <v>1151</v>
      </c>
      <c r="B230" s="6" t="s">
        <v>1158</v>
      </c>
      <c r="C230" s="6" t="s">
        <v>17</v>
      </c>
      <c r="D230" s="7">
        <v>1889</v>
      </c>
      <c r="E230" s="7" t="s">
        <v>528</v>
      </c>
      <c r="F230" s="7" t="s">
        <v>529</v>
      </c>
      <c r="G230" s="6" t="s">
        <v>1151</v>
      </c>
      <c r="H230" s="6" t="s">
        <v>1060</v>
      </c>
      <c r="I230" s="6" t="s">
        <v>1159</v>
      </c>
      <c r="J230" s="7">
        <v>1890</v>
      </c>
      <c r="K230" s="8">
        <v>0.47699999809265137</v>
      </c>
      <c r="L230" s="9">
        <v>0</v>
      </c>
      <c r="M230" s="6"/>
      <c r="N230" s="6" t="s">
        <v>411</v>
      </c>
      <c r="O230" s="6" t="s">
        <v>1160</v>
      </c>
    </row>
    <row r="231" spans="1:15">
      <c r="A231" s="5" t="s">
        <v>1161</v>
      </c>
      <c r="B231" s="5" t="s">
        <v>311</v>
      </c>
      <c r="C231" s="5" t="s">
        <v>17</v>
      </c>
      <c r="D231" s="10">
        <v>1890</v>
      </c>
      <c r="E231" s="35" t="s">
        <v>528</v>
      </c>
      <c r="F231" s="35" t="s">
        <v>529</v>
      </c>
      <c r="G231" s="5" t="s">
        <v>1161</v>
      </c>
      <c r="H231" s="5" t="s">
        <v>941</v>
      </c>
      <c r="I231" s="5" t="s">
        <v>428</v>
      </c>
      <c r="J231" s="10">
        <v>1891</v>
      </c>
      <c r="K231" s="11">
        <v>1.0099999904632568</v>
      </c>
      <c r="L231" s="12">
        <v>0</v>
      </c>
      <c r="M231" s="5"/>
      <c r="N231" s="5" t="s">
        <v>986</v>
      </c>
      <c r="O231" s="5" t="s">
        <v>1162</v>
      </c>
    </row>
    <row r="232" spans="1:15">
      <c r="A232" s="6" t="s">
        <v>1161</v>
      </c>
      <c r="B232" s="6" t="s">
        <v>1112</v>
      </c>
      <c r="C232" s="6" t="s">
        <v>428</v>
      </c>
      <c r="D232" s="7">
        <v>1891</v>
      </c>
      <c r="E232" s="7" t="s">
        <v>528</v>
      </c>
      <c r="F232" s="7" t="s">
        <v>529</v>
      </c>
      <c r="G232" s="6" t="s">
        <v>1161</v>
      </c>
      <c r="H232" s="6" t="s">
        <v>501</v>
      </c>
      <c r="I232" s="6" t="s">
        <v>17</v>
      </c>
      <c r="J232" s="7">
        <v>1893</v>
      </c>
      <c r="K232" s="8">
        <v>1.9900000095367432</v>
      </c>
      <c r="L232" s="9">
        <v>0</v>
      </c>
      <c r="M232" s="6"/>
      <c r="N232" s="6" t="s">
        <v>1163</v>
      </c>
      <c r="O232" s="6" t="s">
        <v>1164</v>
      </c>
    </row>
    <row r="233" spans="1:15">
      <c r="A233" s="5" t="s">
        <v>1165</v>
      </c>
      <c r="B233" s="5" t="s">
        <v>1166</v>
      </c>
      <c r="C233" s="5" t="s">
        <v>17</v>
      </c>
      <c r="D233" s="10">
        <v>1893</v>
      </c>
      <c r="E233" s="35" t="s">
        <v>528</v>
      </c>
      <c r="F233" s="35" t="s">
        <v>529</v>
      </c>
      <c r="G233" s="5" t="s">
        <v>1165</v>
      </c>
      <c r="H233" s="5" t="s">
        <v>44</v>
      </c>
      <c r="I233" s="5" t="s">
        <v>17</v>
      </c>
      <c r="J233" s="10">
        <v>1928</v>
      </c>
      <c r="K233" s="11">
        <v>35.069999694824219</v>
      </c>
      <c r="L233" s="12">
        <v>0</v>
      </c>
      <c r="M233" s="5"/>
      <c r="N233" s="5" t="s">
        <v>1167</v>
      </c>
      <c r="O233" s="5" t="s">
        <v>1168</v>
      </c>
    </row>
    <row r="234" spans="1:15">
      <c r="A234" s="6" t="s">
        <v>1165</v>
      </c>
      <c r="B234" s="6" t="s">
        <v>239</v>
      </c>
      <c r="C234" s="6" t="s">
        <v>17</v>
      </c>
      <c r="D234" s="7">
        <v>1928</v>
      </c>
      <c r="E234" s="7" t="s">
        <v>528</v>
      </c>
      <c r="F234" s="7" t="s">
        <v>529</v>
      </c>
      <c r="G234" s="6" t="s">
        <v>1165</v>
      </c>
      <c r="H234" s="6" t="s">
        <v>941</v>
      </c>
      <c r="I234" s="6" t="s">
        <v>140</v>
      </c>
      <c r="J234" s="7">
        <v>1931</v>
      </c>
      <c r="K234" s="8">
        <v>3.0759999752044678</v>
      </c>
      <c r="L234" s="9">
        <v>0</v>
      </c>
      <c r="M234" s="6"/>
      <c r="N234" s="6" t="s">
        <v>667</v>
      </c>
      <c r="O234" s="6" t="s">
        <v>1169</v>
      </c>
    </row>
    <row r="235" spans="1:15">
      <c r="A235" s="5" t="s">
        <v>1165</v>
      </c>
      <c r="B235" s="5" t="s">
        <v>1170</v>
      </c>
      <c r="C235" s="5" t="s">
        <v>140</v>
      </c>
      <c r="D235" s="10">
        <v>1931</v>
      </c>
      <c r="E235" s="35" t="s">
        <v>528</v>
      </c>
      <c r="F235" s="35" t="s">
        <v>529</v>
      </c>
      <c r="G235" s="5" t="s">
        <v>1165</v>
      </c>
      <c r="H235" s="5" t="s">
        <v>1171</v>
      </c>
      <c r="I235" s="5" t="s">
        <v>247</v>
      </c>
      <c r="J235" s="10">
        <v>1935</v>
      </c>
      <c r="K235" s="11">
        <v>3.6349999904632568</v>
      </c>
      <c r="L235" s="12">
        <v>0</v>
      </c>
      <c r="M235" s="5"/>
      <c r="N235" s="5" t="s">
        <v>807</v>
      </c>
      <c r="O235" s="5" t="s">
        <v>1172</v>
      </c>
    </row>
    <row r="236" spans="1:15">
      <c r="A236" s="6" t="s">
        <v>1165</v>
      </c>
      <c r="B236" s="6" t="s">
        <v>1173</v>
      </c>
      <c r="C236" s="6" t="s">
        <v>247</v>
      </c>
      <c r="D236" s="7">
        <v>1935</v>
      </c>
      <c r="E236" s="7" t="s">
        <v>528</v>
      </c>
      <c r="F236" s="7" t="s">
        <v>529</v>
      </c>
      <c r="G236" s="6" t="s">
        <v>1165</v>
      </c>
      <c r="H236" s="6" t="s">
        <v>483</v>
      </c>
      <c r="I236" s="6" t="s">
        <v>45</v>
      </c>
      <c r="J236" s="7">
        <v>1940</v>
      </c>
      <c r="K236" s="8">
        <v>4.7649998664855957</v>
      </c>
      <c r="L236" s="9">
        <v>0</v>
      </c>
      <c r="M236" s="6"/>
      <c r="N236" s="6" t="s">
        <v>1174</v>
      </c>
      <c r="O236" s="6" t="s">
        <v>1175</v>
      </c>
    </row>
    <row r="237" spans="1:15">
      <c r="A237" s="5" t="s">
        <v>1165</v>
      </c>
      <c r="B237" s="5" t="s">
        <v>88</v>
      </c>
      <c r="C237" s="5" t="s">
        <v>45</v>
      </c>
      <c r="D237" s="10">
        <v>1940</v>
      </c>
      <c r="E237" s="35" t="s">
        <v>528</v>
      </c>
      <c r="F237" s="35" t="s">
        <v>529</v>
      </c>
      <c r="G237" s="5" t="s">
        <v>1165</v>
      </c>
      <c r="H237" s="5" t="s">
        <v>759</v>
      </c>
      <c r="I237" s="5" t="s">
        <v>240</v>
      </c>
      <c r="J237" s="10">
        <v>1944</v>
      </c>
      <c r="K237" s="11">
        <v>4.7010002136230469</v>
      </c>
      <c r="L237" s="12">
        <v>0</v>
      </c>
      <c r="M237" s="5"/>
      <c r="N237" s="5" t="s">
        <v>800</v>
      </c>
      <c r="O237" s="5" t="s">
        <v>1176</v>
      </c>
    </row>
    <row r="238" spans="1:15">
      <c r="A238" s="6" t="s">
        <v>1165</v>
      </c>
      <c r="B238" s="6" t="s">
        <v>851</v>
      </c>
      <c r="C238" s="6" t="s">
        <v>240</v>
      </c>
      <c r="D238" s="7">
        <v>1944</v>
      </c>
      <c r="E238" s="7" t="s">
        <v>528</v>
      </c>
      <c r="F238" s="7" t="s">
        <v>529</v>
      </c>
      <c r="G238" s="6" t="s">
        <v>1165</v>
      </c>
      <c r="H238" s="6" t="s">
        <v>655</v>
      </c>
      <c r="I238" s="6" t="s">
        <v>45</v>
      </c>
      <c r="J238" s="7">
        <v>1949</v>
      </c>
      <c r="K238" s="8">
        <v>4.6149997711181641</v>
      </c>
      <c r="L238" s="9">
        <v>0</v>
      </c>
      <c r="M238" s="6"/>
      <c r="N238" s="6" t="s">
        <v>1177</v>
      </c>
      <c r="O238" s="6" t="s">
        <v>1178</v>
      </c>
    </row>
    <row r="239" spans="1:15">
      <c r="A239" s="5" t="s">
        <v>1179</v>
      </c>
      <c r="B239" s="5" t="s">
        <v>89</v>
      </c>
      <c r="C239" s="5" t="s">
        <v>45</v>
      </c>
      <c r="D239" s="10">
        <v>1949</v>
      </c>
      <c r="E239" s="35" t="s">
        <v>528</v>
      </c>
      <c r="F239" s="35" t="s">
        <v>529</v>
      </c>
      <c r="G239" s="5" t="s">
        <v>1179</v>
      </c>
      <c r="H239" s="5" t="s">
        <v>188</v>
      </c>
      <c r="I239" s="5" t="s">
        <v>253</v>
      </c>
      <c r="J239" s="10">
        <v>1953</v>
      </c>
      <c r="K239" s="11">
        <v>4.5869998931884766</v>
      </c>
      <c r="L239" s="12">
        <v>0</v>
      </c>
      <c r="M239" s="5"/>
      <c r="N239" s="5" t="s">
        <v>795</v>
      </c>
      <c r="O239" s="5" t="s">
        <v>1180</v>
      </c>
    </row>
    <row r="240" spans="1:15">
      <c r="A240" s="6" t="s">
        <v>1179</v>
      </c>
      <c r="B240" s="6" t="s">
        <v>113</v>
      </c>
      <c r="C240" s="6" t="s">
        <v>253</v>
      </c>
      <c r="D240" s="7">
        <v>1953</v>
      </c>
      <c r="E240" s="7" t="s">
        <v>528</v>
      </c>
      <c r="F240" s="7" t="s">
        <v>529</v>
      </c>
      <c r="G240" s="6" t="s">
        <v>1179</v>
      </c>
      <c r="H240" s="6" t="s">
        <v>513</v>
      </c>
      <c r="I240" s="6" t="s">
        <v>17</v>
      </c>
      <c r="J240" s="7">
        <v>1958</v>
      </c>
      <c r="K240" s="8">
        <v>4.4239997863769531</v>
      </c>
      <c r="L240" s="9">
        <v>0</v>
      </c>
      <c r="M240" s="6"/>
      <c r="N240" s="6" t="s">
        <v>1181</v>
      </c>
      <c r="O240" s="6" t="s">
        <v>1182</v>
      </c>
    </row>
    <row r="241" spans="1:15">
      <c r="A241" s="5" t="s">
        <v>1183</v>
      </c>
      <c r="B241" s="5" t="s">
        <v>1184</v>
      </c>
      <c r="C241" s="5" t="s">
        <v>17</v>
      </c>
      <c r="D241" s="10">
        <v>1958</v>
      </c>
      <c r="E241" s="35" t="s">
        <v>528</v>
      </c>
      <c r="F241" s="35" t="s">
        <v>529</v>
      </c>
      <c r="G241" s="5" t="s">
        <v>1183</v>
      </c>
      <c r="H241" s="5" t="s">
        <v>38</v>
      </c>
      <c r="I241" s="5" t="s">
        <v>39</v>
      </c>
      <c r="J241" s="10">
        <v>1965</v>
      </c>
      <c r="K241" s="11">
        <v>6.750999927520752</v>
      </c>
      <c r="L241" s="12">
        <v>0</v>
      </c>
      <c r="M241" s="5"/>
      <c r="N241" s="5" t="s">
        <v>1185</v>
      </c>
      <c r="O241" s="5" t="s">
        <v>741</v>
      </c>
    </row>
    <row r="242" spans="1:15">
      <c r="A242" s="6" t="s">
        <v>1183</v>
      </c>
      <c r="B242" s="6" t="s">
        <v>1135</v>
      </c>
      <c r="C242" s="6" t="s">
        <v>39</v>
      </c>
      <c r="D242" s="7">
        <v>1965</v>
      </c>
      <c r="E242" s="7" t="s">
        <v>528</v>
      </c>
      <c r="F242" s="7" t="s">
        <v>529</v>
      </c>
      <c r="G242" s="6" t="s">
        <v>1183</v>
      </c>
      <c r="H242" s="6" t="s">
        <v>890</v>
      </c>
      <c r="I242" s="6" t="s">
        <v>17</v>
      </c>
      <c r="J242" s="7">
        <v>1972</v>
      </c>
      <c r="K242" s="8">
        <v>7.2230000495910645</v>
      </c>
      <c r="L242" s="9">
        <v>0</v>
      </c>
      <c r="M242" s="6"/>
      <c r="N242" s="6" t="s">
        <v>1186</v>
      </c>
      <c r="O242" s="6" t="s">
        <v>1187</v>
      </c>
    </row>
    <row r="243" spans="1:15">
      <c r="A243" s="5" t="s">
        <v>1183</v>
      </c>
      <c r="B243" s="5" t="s">
        <v>403</v>
      </c>
      <c r="C243" s="5" t="s">
        <v>17</v>
      </c>
      <c r="D243" s="10">
        <v>1972</v>
      </c>
      <c r="E243" s="35" t="s">
        <v>528</v>
      </c>
      <c r="F243" s="35" t="s">
        <v>529</v>
      </c>
      <c r="G243" s="5" t="s">
        <v>1183</v>
      </c>
      <c r="H243" s="5" t="s">
        <v>407</v>
      </c>
      <c r="I243" s="5" t="s">
        <v>240</v>
      </c>
      <c r="J243" s="10">
        <v>1976</v>
      </c>
      <c r="K243" s="11">
        <v>4.6440000534057617</v>
      </c>
      <c r="L243" s="12">
        <v>0</v>
      </c>
      <c r="M243" s="5"/>
      <c r="N243" s="5" t="s">
        <v>1188</v>
      </c>
      <c r="O243" s="5" t="s">
        <v>1189</v>
      </c>
    </row>
    <row r="244" spans="1:15">
      <c r="A244" s="6" t="s">
        <v>1183</v>
      </c>
      <c r="B244" s="6" t="s">
        <v>590</v>
      </c>
      <c r="C244" s="6" t="s">
        <v>240</v>
      </c>
      <c r="D244" s="7">
        <v>1976</v>
      </c>
      <c r="E244" s="7" t="s">
        <v>528</v>
      </c>
      <c r="F244" s="7" t="s">
        <v>529</v>
      </c>
      <c r="G244" s="6" t="s">
        <v>1183</v>
      </c>
      <c r="H244" s="6" t="s">
        <v>1190</v>
      </c>
      <c r="I244" s="6" t="s">
        <v>17</v>
      </c>
      <c r="J244" s="7">
        <v>1981</v>
      </c>
      <c r="K244" s="8">
        <v>4.6110000610351563</v>
      </c>
      <c r="L244" s="9">
        <v>0</v>
      </c>
      <c r="M244" s="6"/>
      <c r="N244" s="6" t="s">
        <v>219</v>
      </c>
      <c r="O244" s="6" t="s">
        <v>1191</v>
      </c>
    </row>
    <row r="245" spans="1:15">
      <c r="A245" s="5" t="s">
        <v>1192</v>
      </c>
      <c r="B245" s="5" t="s">
        <v>851</v>
      </c>
      <c r="C245" s="5" t="s">
        <v>17</v>
      </c>
      <c r="D245" s="10">
        <v>1981</v>
      </c>
      <c r="E245" s="35" t="s">
        <v>528</v>
      </c>
      <c r="F245" s="35" t="s">
        <v>529</v>
      </c>
      <c r="G245" s="5" t="s">
        <v>1192</v>
      </c>
      <c r="H245" s="5" t="s">
        <v>134</v>
      </c>
      <c r="I245" s="5" t="s">
        <v>548</v>
      </c>
      <c r="J245" s="10">
        <v>1987</v>
      </c>
      <c r="K245" s="11">
        <v>5.9070000648498535</v>
      </c>
      <c r="L245" s="12">
        <v>0</v>
      </c>
      <c r="M245" s="5"/>
      <c r="N245" s="5" t="s">
        <v>592</v>
      </c>
      <c r="O245" s="5" t="s">
        <v>172</v>
      </c>
    </row>
    <row r="246" spans="1:15">
      <c r="A246" s="6" t="s">
        <v>1192</v>
      </c>
      <c r="B246" s="6" t="s">
        <v>1193</v>
      </c>
      <c r="C246" s="6" t="s">
        <v>548</v>
      </c>
      <c r="D246" s="7">
        <v>1987</v>
      </c>
      <c r="E246" s="7" t="s">
        <v>528</v>
      </c>
      <c r="F246" s="7" t="s">
        <v>529</v>
      </c>
      <c r="G246" s="6" t="s">
        <v>1192</v>
      </c>
      <c r="H246" s="6" t="s">
        <v>845</v>
      </c>
      <c r="I246" s="6" t="s">
        <v>17</v>
      </c>
      <c r="J246" s="7">
        <v>1993</v>
      </c>
      <c r="K246" s="8">
        <v>5.5329999923706055</v>
      </c>
      <c r="L246" s="9">
        <v>0</v>
      </c>
      <c r="M246" s="6"/>
      <c r="N246" s="6" t="s">
        <v>94</v>
      </c>
      <c r="O246" s="6" t="s">
        <v>1194</v>
      </c>
    </row>
    <row r="247" spans="1:15">
      <c r="A247" s="5" t="s">
        <v>1195</v>
      </c>
      <c r="B247" s="5" t="s">
        <v>638</v>
      </c>
      <c r="C247" s="5" t="s">
        <v>17</v>
      </c>
      <c r="D247" s="10">
        <v>1993</v>
      </c>
      <c r="E247" s="35" t="s">
        <v>528</v>
      </c>
      <c r="F247" s="35" t="s">
        <v>529</v>
      </c>
      <c r="G247" s="5" t="s">
        <v>1195</v>
      </c>
      <c r="H247" s="5" t="s">
        <v>155</v>
      </c>
      <c r="I247" s="5" t="s">
        <v>1101</v>
      </c>
      <c r="J247" s="10">
        <v>1994</v>
      </c>
      <c r="K247" s="11">
        <v>1.1339999437332153</v>
      </c>
      <c r="L247" s="12">
        <v>0</v>
      </c>
      <c r="M247" s="5"/>
      <c r="N247" s="5" t="s">
        <v>282</v>
      </c>
      <c r="O247" s="5" t="s">
        <v>1196</v>
      </c>
    </row>
    <row r="248" spans="1:15">
      <c r="A248" s="6" t="s">
        <v>1195</v>
      </c>
      <c r="B248" s="6" t="s">
        <v>18</v>
      </c>
      <c r="C248" s="6" t="s">
        <v>1101</v>
      </c>
      <c r="D248" s="7">
        <v>1994</v>
      </c>
      <c r="E248" s="7" t="s">
        <v>528</v>
      </c>
      <c r="F248" s="7" t="s">
        <v>529</v>
      </c>
      <c r="G248" s="6" t="s">
        <v>1195</v>
      </c>
      <c r="H248" s="6" t="s">
        <v>53</v>
      </c>
      <c r="I248" s="6" t="s">
        <v>1080</v>
      </c>
      <c r="J248" s="7">
        <v>1996</v>
      </c>
      <c r="K248" s="8">
        <v>2.5099999904632568</v>
      </c>
      <c r="L248" s="9">
        <v>0</v>
      </c>
      <c r="M248" s="6"/>
      <c r="N248" s="6" t="s">
        <v>1197</v>
      </c>
      <c r="O248" s="6" t="s">
        <v>1198</v>
      </c>
    </row>
    <row r="249" spans="1:15">
      <c r="A249" s="5" t="s">
        <v>1195</v>
      </c>
      <c r="B249" s="5" t="s">
        <v>22</v>
      </c>
      <c r="C249" s="5" t="s">
        <v>1080</v>
      </c>
      <c r="D249" s="10">
        <v>1996</v>
      </c>
      <c r="E249" s="35" t="s">
        <v>528</v>
      </c>
      <c r="F249" s="35" t="s">
        <v>529</v>
      </c>
      <c r="G249" s="5" t="s">
        <v>1195</v>
      </c>
      <c r="H249" s="5" t="s">
        <v>898</v>
      </c>
      <c r="I249" s="5" t="s">
        <v>1199</v>
      </c>
      <c r="J249" s="10">
        <v>1999</v>
      </c>
      <c r="K249" s="11">
        <v>3.0429999828338623</v>
      </c>
      <c r="L249" s="12">
        <v>0</v>
      </c>
      <c r="M249" s="5"/>
      <c r="N249" s="5" t="s">
        <v>1048</v>
      </c>
      <c r="O249" s="5" t="s">
        <v>1200</v>
      </c>
    </row>
    <row r="250" spans="1:15">
      <c r="A250" s="6" t="s">
        <v>1195</v>
      </c>
      <c r="B250" s="6" t="s">
        <v>1201</v>
      </c>
      <c r="C250" s="6" t="s">
        <v>1199</v>
      </c>
      <c r="D250" s="7">
        <v>1999</v>
      </c>
      <c r="E250" s="7" t="s">
        <v>528</v>
      </c>
      <c r="F250" s="7" t="s">
        <v>529</v>
      </c>
      <c r="G250" s="6" t="s">
        <v>1195</v>
      </c>
      <c r="H250" s="6" t="s">
        <v>389</v>
      </c>
      <c r="I250" s="6" t="s">
        <v>50</v>
      </c>
      <c r="J250" s="7">
        <v>2005</v>
      </c>
      <c r="K250" s="8">
        <v>5.2049999237060547</v>
      </c>
      <c r="L250" s="9">
        <v>0</v>
      </c>
      <c r="M250" s="6"/>
      <c r="N250" s="6" t="s">
        <v>56</v>
      </c>
      <c r="O250" s="6" t="s">
        <v>1202</v>
      </c>
    </row>
    <row r="251" spans="1:15">
      <c r="A251" s="5" t="s">
        <v>1195</v>
      </c>
      <c r="B251" s="5" t="s">
        <v>287</v>
      </c>
      <c r="C251" s="5" t="s">
        <v>50</v>
      </c>
      <c r="D251" s="10">
        <v>2005</v>
      </c>
      <c r="E251" s="35" t="s">
        <v>528</v>
      </c>
      <c r="F251" s="35" t="s">
        <v>529</v>
      </c>
      <c r="G251" s="5" t="s">
        <v>1195</v>
      </c>
      <c r="H251" s="5" t="s">
        <v>288</v>
      </c>
      <c r="I251" s="5" t="s">
        <v>1199</v>
      </c>
      <c r="J251" s="10">
        <v>2010</v>
      </c>
      <c r="K251" s="11">
        <v>4.9749999046325684</v>
      </c>
      <c r="L251" s="12">
        <v>0</v>
      </c>
      <c r="M251" s="5"/>
      <c r="N251" s="5" t="s">
        <v>1203</v>
      </c>
      <c r="O251" s="5" t="s">
        <v>1204</v>
      </c>
    </row>
    <row r="252" spans="1:15">
      <c r="A252" s="6" t="s">
        <v>1195</v>
      </c>
      <c r="B252" s="6" t="s">
        <v>1205</v>
      </c>
      <c r="C252" s="6" t="s">
        <v>280</v>
      </c>
      <c r="D252" s="7">
        <v>2010</v>
      </c>
      <c r="E252" s="7" t="s">
        <v>528</v>
      </c>
      <c r="F252" s="7" t="s">
        <v>529</v>
      </c>
      <c r="G252" s="6" t="s">
        <v>1195</v>
      </c>
      <c r="H252" s="6" t="s">
        <v>1206</v>
      </c>
      <c r="I252" s="6" t="s">
        <v>29</v>
      </c>
      <c r="J252" s="7">
        <v>2014</v>
      </c>
      <c r="K252" s="8">
        <v>4.5939998626708984</v>
      </c>
      <c r="L252" s="9">
        <v>0</v>
      </c>
      <c r="M252" s="6"/>
      <c r="N252" s="6" t="s">
        <v>1207</v>
      </c>
      <c r="O252" s="6" t="s">
        <v>1208</v>
      </c>
    </row>
    <row r="253" spans="1:15">
      <c r="A253" s="5" t="s">
        <v>1195</v>
      </c>
      <c r="B253" s="5" t="s">
        <v>1209</v>
      </c>
      <c r="C253" s="5" t="s">
        <v>29</v>
      </c>
      <c r="D253" s="10">
        <v>2014</v>
      </c>
      <c r="E253" s="35" t="s">
        <v>528</v>
      </c>
      <c r="F253" s="35" t="s">
        <v>529</v>
      </c>
      <c r="G253" s="5" t="s">
        <v>1195</v>
      </c>
      <c r="H253" s="5" t="s">
        <v>430</v>
      </c>
      <c r="I253" s="5" t="s">
        <v>17</v>
      </c>
      <c r="J253" s="10">
        <v>2015</v>
      </c>
      <c r="K253" s="11">
        <v>1.2760000228881836</v>
      </c>
      <c r="L253" s="12">
        <v>0</v>
      </c>
      <c r="M253" s="5"/>
      <c r="N253" s="5" t="s">
        <v>254</v>
      </c>
      <c r="O253" s="5" t="s">
        <v>1210</v>
      </c>
    </row>
    <row r="254" spans="1:15">
      <c r="A254" s="6" t="s">
        <v>1211</v>
      </c>
      <c r="B254" s="6" t="s">
        <v>717</v>
      </c>
      <c r="C254" s="6" t="s">
        <v>17</v>
      </c>
      <c r="D254" s="7">
        <v>2015</v>
      </c>
      <c r="E254" s="7" t="s">
        <v>528</v>
      </c>
      <c r="F254" s="7" t="s">
        <v>529</v>
      </c>
      <c r="G254" s="6" t="s">
        <v>1211</v>
      </c>
      <c r="H254" s="6" t="s">
        <v>1093</v>
      </c>
      <c r="I254" s="6" t="s">
        <v>1212</v>
      </c>
      <c r="J254" s="7">
        <v>2017</v>
      </c>
      <c r="K254" s="8">
        <v>1.5190000534057617</v>
      </c>
      <c r="L254" s="9">
        <v>0</v>
      </c>
      <c r="M254" s="6"/>
      <c r="N254" s="6" t="s">
        <v>236</v>
      </c>
      <c r="O254" s="6" t="s">
        <v>1213</v>
      </c>
    </row>
    <row r="255" spans="1:15">
      <c r="A255" s="5" t="s">
        <v>1211</v>
      </c>
      <c r="B255" s="5" t="s">
        <v>229</v>
      </c>
      <c r="C255" s="5" t="s">
        <v>1214</v>
      </c>
      <c r="D255" s="10">
        <v>2017</v>
      </c>
      <c r="E255" s="35" t="s">
        <v>528</v>
      </c>
      <c r="F255" s="35" t="s">
        <v>529</v>
      </c>
      <c r="G255" s="5" t="s">
        <v>1211</v>
      </c>
      <c r="H255" s="5" t="s">
        <v>858</v>
      </c>
      <c r="I255" s="5" t="s">
        <v>1215</v>
      </c>
      <c r="J255" s="10">
        <v>2020</v>
      </c>
      <c r="K255" s="11">
        <v>2.7300000190734863</v>
      </c>
      <c r="L255" s="12">
        <v>0</v>
      </c>
      <c r="M255" s="5"/>
      <c r="N255" s="5" t="s">
        <v>175</v>
      </c>
      <c r="O255" s="5" t="s">
        <v>1216</v>
      </c>
    </row>
    <row r="256" spans="1:15">
      <c r="A256" s="6" t="s">
        <v>1211</v>
      </c>
      <c r="B256" s="6" t="s">
        <v>858</v>
      </c>
      <c r="C256" s="6" t="s">
        <v>1215</v>
      </c>
      <c r="D256" s="7">
        <v>2020</v>
      </c>
      <c r="E256" s="7" t="s">
        <v>528</v>
      </c>
      <c r="F256" s="7" t="s">
        <v>529</v>
      </c>
      <c r="G256" s="6" t="s">
        <v>1211</v>
      </c>
      <c r="H256" s="6" t="s">
        <v>961</v>
      </c>
      <c r="I256" s="6" t="s">
        <v>45</v>
      </c>
      <c r="J256" s="7">
        <v>2023</v>
      </c>
      <c r="K256" s="8">
        <v>3.5969998836517334</v>
      </c>
      <c r="L256" s="9">
        <v>0</v>
      </c>
      <c r="M256" s="6"/>
      <c r="N256" s="6" t="s">
        <v>1217</v>
      </c>
      <c r="O256" s="6" t="s">
        <v>1218</v>
      </c>
    </row>
    <row r="257" spans="1:15">
      <c r="A257" s="5" t="s">
        <v>1219</v>
      </c>
      <c r="B257" s="5" t="s">
        <v>441</v>
      </c>
      <c r="C257" s="5" t="s">
        <v>17</v>
      </c>
      <c r="D257" s="10">
        <v>2023</v>
      </c>
      <c r="E257" s="35" t="s">
        <v>528</v>
      </c>
      <c r="F257" s="35" t="s">
        <v>529</v>
      </c>
      <c r="G257" s="5" t="s">
        <v>1219</v>
      </c>
      <c r="H257" s="5" t="s">
        <v>739</v>
      </c>
      <c r="I257" s="5" t="s">
        <v>410</v>
      </c>
      <c r="J257" s="10">
        <v>2024</v>
      </c>
      <c r="K257" s="11">
        <v>1.0920000076293945</v>
      </c>
      <c r="L257" s="12">
        <v>0</v>
      </c>
      <c r="M257" s="5"/>
      <c r="N257" s="5" t="s">
        <v>1220</v>
      </c>
      <c r="O257" s="5" t="s">
        <v>595</v>
      </c>
    </row>
    <row r="258" spans="1:15">
      <c r="A258" s="6" t="s">
        <v>1219</v>
      </c>
      <c r="B258" s="6" t="s">
        <v>63</v>
      </c>
      <c r="C258" s="6" t="s">
        <v>410</v>
      </c>
      <c r="D258" s="7">
        <v>2024</v>
      </c>
      <c r="E258" s="7" t="s">
        <v>528</v>
      </c>
      <c r="F258" s="7" t="s">
        <v>529</v>
      </c>
      <c r="G258" s="6" t="s">
        <v>1219</v>
      </c>
      <c r="H258" s="6" t="s">
        <v>260</v>
      </c>
      <c r="I258" s="6" t="s">
        <v>1221</v>
      </c>
      <c r="J258" s="7">
        <v>2045</v>
      </c>
      <c r="K258" s="8">
        <v>20.020999908447266</v>
      </c>
      <c r="L258" s="9">
        <v>0</v>
      </c>
      <c r="M258" s="6"/>
      <c r="N258" s="6" t="s">
        <v>1222</v>
      </c>
      <c r="O258" s="6" t="s">
        <v>663</v>
      </c>
    </row>
    <row r="259" spans="1:15">
      <c r="A259" s="5" t="s">
        <v>1219</v>
      </c>
      <c r="B259" s="5" t="s">
        <v>367</v>
      </c>
      <c r="C259" s="5" t="s">
        <v>1221</v>
      </c>
      <c r="D259" s="10">
        <v>2045</v>
      </c>
      <c r="E259" s="35" t="s">
        <v>528</v>
      </c>
      <c r="F259" s="35" t="s">
        <v>529</v>
      </c>
      <c r="G259" s="5" t="s">
        <v>1219</v>
      </c>
      <c r="H259" s="5" t="s">
        <v>80</v>
      </c>
      <c r="I259" s="5" t="s">
        <v>50</v>
      </c>
      <c r="J259" s="10">
        <v>2058</v>
      </c>
      <c r="K259" s="11">
        <v>13.225000381469727</v>
      </c>
      <c r="L259" s="12">
        <v>0</v>
      </c>
      <c r="M259" s="5"/>
      <c r="N259" s="5" t="s">
        <v>1223</v>
      </c>
      <c r="O259" s="5" t="s">
        <v>1224</v>
      </c>
    </row>
    <row r="260" spans="1:15">
      <c r="A260" s="6" t="s">
        <v>1219</v>
      </c>
      <c r="B260" s="6" t="s">
        <v>54</v>
      </c>
      <c r="C260" s="6" t="s">
        <v>50</v>
      </c>
      <c r="D260" s="7">
        <v>2058</v>
      </c>
      <c r="E260" s="7" t="s">
        <v>528</v>
      </c>
      <c r="F260" s="7" t="s">
        <v>529</v>
      </c>
      <c r="G260" s="6" t="s">
        <v>1219</v>
      </c>
      <c r="H260" s="6" t="s">
        <v>126</v>
      </c>
      <c r="I260" s="6" t="s">
        <v>419</v>
      </c>
      <c r="J260" s="7">
        <v>2063</v>
      </c>
      <c r="K260" s="8">
        <v>4.8969998359680176</v>
      </c>
      <c r="L260" s="9">
        <v>0</v>
      </c>
      <c r="M260" s="6"/>
      <c r="N260" s="6" t="s">
        <v>813</v>
      </c>
      <c r="O260" s="6" t="s">
        <v>1225</v>
      </c>
    </row>
    <row r="261" spans="1:15">
      <c r="A261" s="5" t="s">
        <v>1219</v>
      </c>
      <c r="B261" s="5" t="s">
        <v>1103</v>
      </c>
      <c r="C261" s="5" t="s">
        <v>419</v>
      </c>
      <c r="D261" s="10">
        <v>2063</v>
      </c>
      <c r="E261" s="35" t="s">
        <v>528</v>
      </c>
      <c r="F261" s="35" t="s">
        <v>529</v>
      </c>
      <c r="G261" s="5" t="s">
        <v>1219</v>
      </c>
      <c r="H261" s="5" t="s">
        <v>568</v>
      </c>
      <c r="I261" s="5" t="s">
        <v>1080</v>
      </c>
      <c r="J261" s="10">
        <v>2064</v>
      </c>
      <c r="K261" s="11">
        <v>1.8450000286102295</v>
      </c>
      <c r="L261" s="12">
        <v>0</v>
      </c>
      <c r="M261" s="5"/>
      <c r="N261" s="5" t="s">
        <v>552</v>
      </c>
      <c r="O261" s="5" t="s">
        <v>1226</v>
      </c>
    </row>
    <row r="262" spans="1:15">
      <c r="A262" s="6" t="s">
        <v>1219</v>
      </c>
      <c r="B262" s="6" t="s">
        <v>1106</v>
      </c>
      <c r="C262" s="6" t="s">
        <v>1080</v>
      </c>
      <c r="D262" s="7">
        <v>2064</v>
      </c>
      <c r="E262" s="7" t="s">
        <v>528</v>
      </c>
      <c r="F262" s="7" t="s">
        <v>529</v>
      </c>
      <c r="G262" s="6" t="s">
        <v>1219</v>
      </c>
      <c r="H262" s="6" t="s">
        <v>1107</v>
      </c>
      <c r="I262" s="6" t="s">
        <v>428</v>
      </c>
      <c r="J262" s="7">
        <v>2068</v>
      </c>
      <c r="K262" s="8">
        <v>3.2339999675750732</v>
      </c>
      <c r="L262" s="9">
        <v>0</v>
      </c>
      <c r="M262" s="6"/>
      <c r="N262" s="6" t="s">
        <v>1227</v>
      </c>
      <c r="O262" s="6" t="s">
        <v>385</v>
      </c>
    </row>
    <row r="263" spans="1:15">
      <c r="A263" s="5" t="s">
        <v>1219</v>
      </c>
      <c r="B263" s="5" t="s">
        <v>941</v>
      </c>
      <c r="C263" s="5" t="s">
        <v>428</v>
      </c>
      <c r="D263" s="10">
        <v>2068</v>
      </c>
      <c r="E263" s="35" t="s">
        <v>528</v>
      </c>
      <c r="F263" s="35" t="s">
        <v>529</v>
      </c>
      <c r="G263" s="5" t="s">
        <v>1219</v>
      </c>
      <c r="H263" s="5" t="s">
        <v>389</v>
      </c>
      <c r="I263" s="5" t="s">
        <v>17</v>
      </c>
      <c r="J263" s="10">
        <v>2069</v>
      </c>
      <c r="K263" s="11">
        <v>1.2000000476837158</v>
      </c>
      <c r="L263" s="12">
        <v>0</v>
      </c>
      <c r="M263" s="5"/>
      <c r="N263" s="5" t="s">
        <v>1228</v>
      </c>
      <c r="O263" s="5" t="s">
        <v>1229</v>
      </c>
    </row>
    <row r="264" spans="1:15">
      <c r="A264" s="6" t="s">
        <v>1219</v>
      </c>
      <c r="B264" s="6" t="s">
        <v>1230</v>
      </c>
      <c r="C264" s="6" t="s">
        <v>17</v>
      </c>
      <c r="D264" s="7">
        <v>2069</v>
      </c>
      <c r="E264" s="7" t="s">
        <v>528</v>
      </c>
      <c r="F264" s="7" t="s">
        <v>529</v>
      </c>
      <c r="G264" s="6" t="s">
        <v>1219</v>
      </c>
      <c r="H264" s="6" t="s">
        <v>144</v>
      </c>
      <c r="I264" s="6" t="s">
        <v>17</v>
      </c>
      <c r="J264" s="7">
        <v>2069</v>
      </c>
      <c r="K264" s="8">
        <v>0.21899999678134918</v>
      </c>
      <c r="L264" s="9">
        <v>0</v>
      </c>
      <c r="M264" s="6"/>
      <c r="N264" s="6" t="s">
        <v>576</v>
      </c>
      <c r="O264" s="6" t="s">
        <v>1231</v>
      </c>
    </row>
    <row r="265" spans="1:15">
      <c r="A265" s="5" t="s">
        <v>1219</v>
      </c>
      <c r="B265" s="5" t="s">
        <v>1232</v>
      </c>
      <c r="C265" s="5" t="s">
        <v>17</v>
      </c>
      <c r="D265" s="10">
        <v>2069</v>
      </c>
      <c r="E265" s="35" t="s">
        <v>528</v>
      </c>
      <c r="F265" s="35" t="s">
        <v>529</v>
      </c>
      <c r="G265" s="5" t="s">
        <v>1219</v>
      </c>
      <c r="H265" s="5" t="s">
        <v>1233</v>
      </c>
      <c r="I265" s="5" t="s">
        <v>913</v>
      </c>
      <c r="J265" s="10">
        <v>2076</v>
      </c>
      <c r="K265" s="11">
        <v>7.005000114440918</v>
      </c>
      <c r="L265" s="12">
        <v>0</v>
      </c>
      <c r="M265" s="5"/>
      <c r="N265" s="5" t="s">
        <v>1234</v>
      </c>
      <c r="O265" s="5" t="s">
        <v>392</v>
      </c>
    </row>
    <row r="266" spans="1:15">
      <c r="A266" s="6" t="s">
        <v>1219</v>
      </c>
      <c r="B266" s="6" t="s">
        <v>1235</v>
      </c>
      <c r="C266" s="6" t="s">
        <v>913</v>
      </c>
      <c r="D266" s="7">
        <v>2076</v>
      </c>
      <c r="E266" s="7" t="s">
        <v>528</v>
      </c>
      <c r="F266" s="7" t="s">
        <v>529</v>
      </c>
      <c r="G266" s="6" t="s">
        <v>1219</v>
      </c>
      <c r="H266" s="6" t="s">
        <v>1236</v>
      </c>
      <c r="I266" s="6" t="s">
        <v>240</v>
      </c>
      <c r="J266" s="7">
        <v>2080</v>
      </c>
      <c r="K266" s="8">
        <v>3.9670000076293945</v>
      </c>
      <c r="L266" s="9">
        <v>0</v>
      </c>
      <c r="M266" s="6"/>
      <c r="N266" s="6" t="s">
        <v>1174</v>
      </c>
      <c r="O266" s="6" t="s">
        <v>1237</v>
      </c>
    </row>
    <row r="267" spans="1:15">
      <c r="A267" s="5" t="s">
        <v>1219</v>
      </c>
      <c r="B267" s="5" t="s">
        <v>1238</v>
      </c>
      <c r="C267" s="5" t="s">
        <v>240</v>
      </c>
      <c r="D267" s="10">
        <v>2080</v>
      </c>
      <c r="E267" s="35" t="s">
        <v>528</v>
      </c>
      <c r="F267" s="35" t="s">
        <v>529</v>
      </c>
      <c r="G267" s="5" t="s">
        <v>1219</v>
      </c>
      <c r="H267" s="5" t="s">
        <v>1239</v>
      </c>
      <c r="I267" s="5" t="s">
        <v>17</v>
      </c>
      <c r="J267" s="10">
        <v>2085</v>
      </c>
      <c r="K267" s="11">
        <v>4.5310001373291016</v>
      </c>
      <c r="L267" s="12">
        <v>0</v>
      </c>
      <c r="M267" s="5"/>
      <c r="N267" s="5" t="s">
        <v>360</v>
      </c>
      <c r="O267" s="5" t="s">
        <v>1240</v>
      </c>
    </row>
    <row r="268" spans="1:15">
      <c r="A268" s="6" t="s">
        <v>1241</v>
      </c>
      <c r="B268" s="6" t="s">
        <v>200</v>
      </c>
      <c r="C268" s="6" t="s">
        <v>17</v>
      </c>
      <c r="D268" s="7">
        <v>2085</v>
      </c>
      <c r="E268" s="7" t="s">
        <v>528</v>
      </c>
      <c r="F268" s="7" t="s">
        <v>529</v>
      </c>
      <c r="G268" s="6" t="s">
        <v>1241</v>
      </c>
      <c r="H268" s="6" t="s">
        <v>203</v>
      </c>
      <c r="I268" s="6" t="s">
        <v>677</v>
      </c>
      <c r="J268" s="7">
        <v>2090</v>
      </c>
      <c r="K268" s="8">
        <v>5.5970001220703125</v>
      </c>
      <c r="L268" s="9">
        <v>0</v>
      </c>
      <c r="M268" s="6"/>
      <c r="N268" s="6" t="s">
        <v>1242</v>
      </c>
      <c r="O268" s="6" t="s">
        <v>1198</v>
      </c>
    </row>
    <row r="269" spans="1:15">
      <c r="A269" s="5" t="s">
        <v>1241</v>
      </c>
      <c r="B269" s="5" t="s">
        <v>1135</v>
      </c>
      <c r="C269" s="5" t="s">
        <v>677</v>
      </c>
      <c r="D269" s="10">
        <v>2090</v>
      </c>
      <c r="E269" s="35" t="s">
        <v>528</v>
      </c>
      <c r="F269" s="35" t="s">
        <v>529</v>
      </c>
      <c r="G269" s="5" t="s">
        <v>1241</v>
      </c>
      <c r="H269" s="5" t="s">
        <v>676</v>
      </c>
      <c r="I269" s="5" t="s">
        <v>45</v>
      </c>
      <c r="J269" s="10">
        <v>2096</v>
      </c>
      <c r="K269" s="11">
        <v>5.8379998207092285</v>
      </c>
      <c r="L269" s="12">
        <v>0</v>
      </c>
      <c r="M269" s="5"/>
      <c r="N269" s="5" t="s">
        <v>1243</v>
      </c>
      <c r="O269" s="5" t="s">
        <v>1244</v>
      </c>
    </row>
    <row r="270" spans="1:15">
      <c r="A270" s="6" t="s">
        <v>1241</v>
      </c>
      <c r="B270" s="6" t="s">
        <v>951</v>
      </c>
      <c r="C270" s="6" t="s">
        <v>45</v>
      </c>
      <c r="D270" s="7">
        <v>2096</v>
      </c>
      <c r="E270" s="7" t="s">
        <v>528</v>
      </c>
      <c r="F270" s="7" t="s">
        <v>529</v>
      </c>
      <c r="G270" s="6" t="s">
        <v>1241</v>
      </c>
      <c r="H270" s="6" t="s">
        <v>344</v>
      </c>
      <c r="I270" s="6" t="s">
        <v>160</v>
      </c>
      <c r="J270" s="7">
        <v>2098</v>
      </c>
      <c r="K270" s="8">
        <v>2.0199999809265137</v>
      </c>
      <c r="L270" s="9">
        <v>0</v>
      </c>
      <c r="M270" s="6"/>
      <c r="N270" s="6" t="s">
        <v>1245</v>
      </c>
      <c r="O270" s="6" t="s">
        <v>1246</v>
      </c>
    </row>
    <row r="271" spans="1:15">
      <c r="A271" s="5" t="s">
        <v>1241</v>
      </c>
      <c r="B271" s="5" t="s">
        <v>16</v>
      </c>
      <c r="C271" s="5" t="s">
        <v>160</v>
      </c>
      <c r="D271" s="10">
        <v>2098</v>
      </c>
      <c r="E271" s="35" t="s">
        <v>528</v>
      </c>
      <c r="F271" s="35" t="s">
        <v>529</v>
      </c>
      <c r="G271" s="5" t="s">
        <v>1241</v>
      </c>
      <c r="H271" s="5" t="s">
        <v>196</v>
      </c>
      <c r="I271" s="5" t="s">
        <v>45</v>
      </c>
      <c r="J271" s="10">
        <v>2100</v>
      </c>
      <c r="K271" s="11">
        <v>2.0799999237060547</v>
      </c>
      <c r="L271" s="12">
        <v>0</v>
      </c>
      <c r="M271" s="5"/>
      <c r="N271" s="5" t="s">
        <v>1247</v>
      </c>
      <c r="O271" s="5" t="s">
        <v>1248</v>
      </c>
    </row>
    <row r="272" spans="1:15">
      <c r="A272" s="6" t="s">
        <v>1241</v>
      </c>
      <c r="B272" s="6" t="s">
        <v>1249</v>
      </c>
      <c r="C272" s="6" t="s">
        <v>45</v>
      </c>
      <c r="D272" s="7">
        <v>2100</v>
      </c>
      <c r="E272" s="7" t="s">
        <v>528</v>
      </c>
      <c r="F272" s="7" t="s">
        <v>529</v>
      </c>
      <c r="G272" s="6" t="s">
        <v>1241</v>
      </c>
      <c r="H272" s="6" t="s">
        <v>164</v>
      </c>
      <c r="I272" s="6" t="s">
        <v>410</v>
      </c>
      <c r="J272" s="7">
        <v>2103</v>
      </c>
      <c r="K272" s="8">
        <v>2.4519999027252197</v>
      </c>
      <c r="L272" s="9">
        <v>0</v>
      </c>
      <c r="M272" s="6"/>
      <c r="N272" s="6" t="s">
        <v>612</v>
      </c>
      <c r="O272" s="6" t="s">
        <v>874</v>
      </c>
    </row>
    <row r="273" spans="1:15">
      <c r="A273" s="5" t="s">
        <v>1241</v>
      </c>
      <c r="B273" s="5" t="s">
        <v>630</v>
      </c>
      <c r="C273" s="5" t="s">
        <v>410</v>
      </c>
      <c r="D273" s="10">
        <v>2103</v>
      </c>
      <c r="E273" s="35" t="s">
        <v>528</v>
      </c>
      <c r="F273" s="35" t="s">
        <v>529</v>
      </c>
      <c r="G273" s="5" t="s">
        <v>1241</v>
      </c>
      <c r="H273" s="5" t="s">
        <v>28</v>
      </c>
      <c r="I273" s="5" t="s">
        <v>45</v>
      </c>
      <c r="J273" s="10">
        <v>2106</v>
      </c>
      <c r="K273" s="11">
        <v>2.6730000972747803</v>
      </c>
      <c r="L273" s="12">
        <v>0</v>
      </c>
      <c r="M273" s="5"/>
      <c r="N273" s="5" t="s">
        <v>645</v>
      </c>
      <c r="O273" s="5" t="s">
        <v>1250</v>
      </c>
    </row>
    <row r="274" spans="1:15">
      <c r="A274" s="6" t="s">
        <v>1241</v>
      </c>
      <c r="B274" s="6" t="s">
        <v>301</v>
      </c>
      <c r="C274" s="6" t="s">
        <v>45</v>
      </c>
      <c r="D274" s="7">
        <v>2106</v>
      </c>
      <c r="E274" s="7" t="s">
        <v>528</v>
      </c>
      <c r="F274" s="7" t="s">
        <v>529</v>
      </c>
      <c r="G274" s="6" t="s">
        <v>1241</v>
      </c>
      <c r="H274" s="6" t="s">
        <v>1251</v>
      </c>
      <c r="I274" s="6" t="s">
        <v>50</v>
      </c>
      <c r="J274" s="7">
        <v>2115</v>
      </c>
      <c r="K274" s="8">
        <v>9.2239999771118164</v>
      </c>
      <c r="L274" s="9">
        <v>0</v>
      </c>
      <c r="M274" s="6"/>
      <c r="N274" s="6" t="s">
        <v>1252</v>
      </c>
      <c r="O274" s="6" t="s">
        <v>1253</v>
      </c>
    </row>
    <row r="275" spans="1:15">
      <c r="A275" s="5" t="s">
        <v>1241</v>
      </c>
      <c r="B275" s="5" t="s">
        <v>1254</v>
      </c>
      <c r="C275" s="5" t="s">
        <v>50</v>
      </c>
      <c r="D275" s="10">
        <v>2115</v>
      </c>
      <c r="E275" s="35" t="s">
        <v>528</v>
      </c>
      <c r="F275" s="35" t="s">
        <v>529</v>
      </c>
      <c r="G275" s="5" t="s">
        <v>1241</v>
      </c>
      <c r="H275" s="5" t="s">
        <v>618</v>
      </c>
      <c r="I275" s="5" t="s">
        <v>45</v>
      </c>
      <c r="J275" s="10">
        <v>2124</v>
      </c>
      <c r="K275" s="11">
        <v>9.4300003051757813</v>
      </c>
      <c r="L275" s="12">
        <v>0</v>
      </c>
      <c r="M275" s="5"/>
      <c r="N275" s="5" t="s">
        <v>1028</v>
      </c>
      <c r="O275" s="5" t="s">
        <v>1255</v>
      </c>
    </row>
    <row r="276" spans="1:15">
      <c r="A276" s="6" t="s">
        <v>1256</v>
      </c>
      <c r="B276" s="6" t="s">
        <v>1257</v>
      </c>
      <c r="C276" s="6" t="s">
        <v>45</v>
      </c>
      <c r="D276" s="7">
        <v>2124</v>
      </c>
      <c r="E276" s="7" t="s">
        <v>528</v>
      </c>
      <c r="F276" s="7" t="s">
        <v>529</v>
      </c>
      <c r="G276" s="6" t="s">
        <v>1256</v>
      </c>
      <c r="H276" s="6" t="s">
        <v>771</v>
      </c>
      <c r="I276" s="6" t="s">
        <v>548</v>
      </c>
      <c r="J276" s="7">
        <v>2130</v>
      </c>
      <c r="K276" s="8">
        <v>5.8969998359680176</v>
      </c>
      <c r="L276" s="9">
        <v>0</v>
      </c>
      <c r="M276" s="6"/>
      <c r="N276" s="6" t="s">
        <v>1258</v>
      </c>
      <c r="O276" s="6" t="s">
        <v>1259</v>
      </c>
    </row>
    <row r="277" spans="1:15">
      <c r="A277" s="5" t="s">
        <v>1256</v>
      </c>
      <c r="B277" s="5" t="s">
        <v>404</v>
      </c>
      <c r="C277" s="5" t="s">
        <v>548</v>
      </c>
      <c r="D277" s="10">
        <v>2130</v>
      </c>
      <c r="E277" s="35" t="s">
        <v>528</v>
      </c>
      <c r="F277" s="35" t="s">
        <v>529</v>
      </c>
      <c r="G277" s="5" t="s">
        <v>1256</v>
      </c>
      <c r="H277" s="5" t="s">
        <v>467</v>
      </c>
      <c r="I277" s="5" t="s">
        <v>419</v>
      </c>
      <c r="J277" s="10">
        <v>2141</v>
      </c>
      <c r="K277" s="11">
        <v>11.25</v>
      </c>
      <c r="L277" s="12">
        <v>0</v>
      </c>
      <c r="M277" s="5"/>
      <c r="N277" s="5" t="s">
        <v>1260</v>
      </c>
      <c r="O277" s="5" t="s">
        <v>495</v>
      </c>
    </row>
    <row r="278" spans="1:15">
      <c r="A278" s="6" t="s">
        <v>1256</v>
      </c>
      <c r="B278" s="6" t="s">
        <v>1190</v>
      </c>
      <c r="C278" s="6" t="s">
        <v>419</v>
      </c>
      <c r="D278" s="7">
        <v>2141</v>
      </c>
      <c r="E278" s="7" t="s">
        <v>528</v>
      </c>
      <c r="F278" s="7" t="s">
        <v>529</v>
      </c>
      <c r="G278" s="6" t="s">
        <v>1256</v>
      </c>
      <c r="H278" s="6" t="s">
        <v>1261</v>
      </c>
      <c r="I278" s="6" t="s">
        <v>45</v>
      </c>
      <c r="J278" s="7">
        <v>2147</v>
      </c>
      <c r="K278" s="8">
        <v>5.2529997825622559</v>
      </c>
      <c r="L278" s="9">
        <v>0</v>
      </c>
      <c r="M278" s="6"/>
      <c r="N278" s="6" t="s">
        <v>1262</v>
      </c>
      <c r="O278" s="6" t="s">
        <v>1263</v>
      </c>
    </row>
    <row r="279" spans="1:15">
      <c r="A279" s="5" t="s">
        <v>1264</v>
      </c>
      <c r="B279" s="5" t="s">
        <v>118</v>
      </c>
      <c r="C279" s="5" t="s">
        <v>45</v>
      </c>
      <c r="D279" s="10">
        <v>2147</v>
      </c>
      <c r="E279" s="35" t="s">
        <v>528</v>
      </c>
      <c r="F279" s="35" t="s">
        <v>529</v>
      </c>
      <c r="G279" s="5" t="s">
        <v>1264</v>
      </c>
      <c r="H279" s="5" t="s">
        <v>1265</v>
      </c>
      <c r="I279" s="5" t="s">
        <v>50</v>
      </c>
      <c r="J279" s="10">
        <v>2156</v>
      </c>
      <c r="K279" s="11">
        <v>9.3350000381469727</v>
      </c>
      <c r="L279" s="12">
        <v>0</v>
      </c>
      <c r="M279" s="5"/>
      <c r="N279" s="5" t="s">
        <v>1266</v>
      </c>
      <c r="O279" s="5" t="s">
        <v>1267</v>
      </c>
    </row>
    <row r="280" spans="1:15">
      <c r="A280" s="6" t="s">
        <v>1264</v>
      </c>
      <c r="B280" s="6" t="s">
        <v>627</v>
      </c>
      <c r="C280" s="6" t="s">
        <v>50</v>
      </c>
      <c r="D280" s="7">
        <v>2156</v>
      </c>
      <c r="E280" s="7" t="s">
        <v>528</v>
      </c>
      <c r="F280" s="7" t="s">
        <v>529</v>
      </c>
      <c r="G280" s="6" t="s">
        <v>1264</v>
      </c>
      <c r="H280" s="6" t="s">
        <v>119</v>
      </c>
      <c r="I280" s="6" t="s">
        <v>45</v>
      </c>
      <c r="J280" s="7">
        <v>2165</v>
      </c>
      <c r="K280" s="8">
        <v>9.4350004196166992</v>
      </c>
      <c r="L280" s="9">
        <v>0</v>
      </c>
      <c r="M280" s="6"/>
      <c r="N280" s="6" t="s">
        <v>1268</v>
      </c>
      <c r="O280" s="6" t="s">
        <v>1269</v>
      </c>
    </row>
    <row r="281" spans="1:15">
      <c r="A281" s="5" t="s">
        <v>1264</v>
      </c>
      <c r="B281" s="5" t="s">
        <v>1130</v>
      </c>
      <c r="C281" s="5" t="s">
        <v>45</v>
      </c>
      <c r="D281" s="10">
        <v>2165</v>
      </c>
      <c r="E281" s="35" t="s">
        <v>528</v>
      </c>
      <c r="F281" s="35" t="s">
        <v>529</v>
      </c>
      <c r="G281" s="5" t="s">
        <v>1264</v>
      </c>
      <c r="H281" s="5" t="s">
        <v>159</v>
      </c>
      <c r="I281" s="5" t="s">
        <v>677</v>
      </c>
      <c r="J281" s="10">
        <v>2171</v>
      </c>
      <c r="K281" s="11">
        <v>5.6779999732971191</v>
      </c>
      <c r="L281" s="12">
        <v>0</v>
      </c>
      <c r="M281" s="5"/>
      <c r="N281" s="5" t="s">
        <v>575</v>
      </c>
      <c r="O281" s="5" t="s">
        <v>1144</v>
      </c>
    </row>
    <row r="282" spans="1:15">
      <c r="A282" s="6" t="s">
        <v>1264</v>
      </c>
      <c r="B282" s="6" t="s">
        <v>217</v>
      </c>
      <c r="C282" s="6" t="s">
        <v>43</v>
      </c>
      <c r="D282" s="7">
        <v>2171</v>
      </c>
      <c r="E282" s="7" t="s">
        <v>528</v>
      </c>
      <c r="F282" s="7" t="s">
        <v>529</v>
      </c>
      <c r="G282" s="6" t="s">
        <v>1264</v>
      </c>
      <c r="H282" s="6" t="s">
        <v>1008</v>
      </c>
      <c r="I282" s="6" t="s">
        <v>50</v>
      </c>
      <c r="J282" s="7">
        <v>2179</v>
      </c>
      <c r="K282" s="8">
        <v>7.7129998207092285</v>
      </c>
      <c r="L282" s="9">
        <v>0</v>
      </c>
      <c r="M282" s="6"/>
      <c r="N282" s="6" t="s">
        <v>782</v>
      </c>
      <c r="O282" s="6" t="s">
        <v>352</v>
      </c>
    </row>
    <row r="283" spans="1:15">
      <c r="A283" s="5" t="s">
        <v>1264</v>
      </c>
      <c r="B283" s="5" t="s">
        <v>250</v>
      </c>
      <c r="C283" s="5" t="s">
        <v>50</v>
      </c>
      <c r="D283" s="10">
        <v>2179</v>
      </c>
      <c r="E283" s="35" t="s">
        <v>528</v>
      </c>
      <c r="F283" s="35" t="s">
        <v>529</v>
      </c>
      <c r="G283" s="5" t="s">
        <v>1264</v>
      </c>
      <c r="H283" s="5" t="s">
        <v>537</v>
      </c>
      <c r="I283" s="5" t="s">
        <v>17</v>
      </c>
      <c r="J283" s="10">
        <v>2188</v>
      </c>
      <c r="K283" s="11">
        <v>9.3360004425048828</v>
      </c>
      <c r="L283" s="12">
        <v>0</v>
      </c>
      <c r="M283" s="5"/>
      <c r="N283" s="5" t="s">
        <v>1270</v>
      </c>
      <c r="O283" s="5" t="s">
        <v>1271</v>
      </c>
    </row>
    <row r="284" spans="1:15">
      <c r="A284" s="6" t="s">
        <v>1264</v>
      </c>
      <c r="B284" s="6" t="s">
        <v>1272</v>
      </c>
      <c r="C284" s="6" t="s">
        <v>17</v>
      </c>
      <c r="D284" s="7">
        <v>2188</v>
      </c>
      <c r="E284" s="7" t="s">
        <v>528</v>
      </c>
      <c r="F284" s="7" t="s">
        <v>529</v>
      </c>
      <c r="G284" s="6" t="s">
        <v>1264</v>
      </c>
      <c r="H284" s="6" t="s">
        <v>1273</v>
      </c>
      <c r="I284" s="6" t="s">
        <v>50</v>
      </c>
      <c r="J284" s="7">
        <v>2197</v>
      </c>
      <c r="K284" s="8">
        <v>9.2399997711181641</v>
      </c>
      <c r="L284" s="9">
        <v>0</v>
      </c>
      <c r="M284" s="6"/>
      <c r="N284" s="6" t="s">
        <v>581</v>
      </c>
      <c r="O284" s="6" t="s">
        <v>1274</v>
      </c>
    </row>
    <row r="285" spans="1:15">
      <c r="A285" s="5" t="s">
        <v>1264</v>
      </c>
      <c r="B285" s="5" t="s">
        <v>1251</v>
      </c>
      <c r="C285" s="5" t="s">
        <v>50</v>
      </c>
      <c r="D285" s="10">
        <v>2197</v>
      </c>
      <c r="E285" s="35" t="s">
        <v>528</v>
      </c>
      <c r="F285" s="35" t="s">
        <v>529</v>
      </c>
      <c r="G285" s="5" t="s">
        <v>1264</v>
      </c>
      <c r="H285" s="5" t="s">
        <v>1275</v>
      </c>
      <c r="I285" s="5" t="s">
        <v>17</v>
      </c>
      <c r="J285" s="10">
        <v>2207</v>
      </c>
      <c r="K285" s="11">
        <v>9.3269996643066406</v>
      </c>
      <c r="L285" s="12">
        <v>0</v>
      </c>
      <c r="M285" s="5"/>
      <c r="N285" s="5" t="s">
        <v>1276</v>
      </c>
      <c r="O285" s="5" t="s">
        <v>1277</v>
      </c>
    </row>
    <row r="286" spans="1:15">
      <c r="A286" s="6" t="s">
        <v>1278</v>
      </c>
      <c r="B286" s="6" t="s">
        <v>1083</v>
      </c>
      <c r="C286" s="6" t="s">
        <v>17</v>
      </c>
      <c r="D286" s="7">
        <v>2207</v>
      </c>
      <c r="E286" s="7" t="s">
        <v>528</v>
      </c>
      <c r="F286" s="7" t="s">
        <v>529</v>
      </c>
      <c r="G286" s="6" t="s">
        <v>1278</v>
      </c>
      <c r="H286" s="6" t="s">
        <v>18</v>
      </c>
      <c r="I286" s="6" t="s">
        <v>240</v>
      </c>
      <c r="J286" s="7">
        <v>2212</v>
      </c>
      <c r="K286" s="8">
        <v>5.1579999923706055</v>
      </c>
      <c r="L286" s="9">
        <v>0</v>
      </c>
      <c r="M286" s="6"/>
      <c r="N286" s="6" t="s">
        <v>473</v>
      </c>
      <c r="O286" s="6" t="s">
        <v>1279</v>
      </c>
    </row>
    <row r="287" spans="1:15">
      <c r="A287" s="5" t="s">
        <v>1278</v>
      </c>
      <c r="B287" s="5" t="s">
        <v>238</v>
      </c>
      <c r="C287" s="5" t="s">
        <v>240</v>
      </c>
      <c r="D287" s="10">
        <v>2212</v>
      </c>
      <c r="E287" s="35" t="s">
        <v>528</v>
      </c>
      <c r="F287" s="35" t="s">
        <v>529</v>
      </c>
      <c r="G287" s="5" t="s">
        <v>1278</v>
      </c>
      <c r="H287" s="5" t="s">
        <v>722</v>
      </c>
      <c r="I287" s="5" t="s">
        <v>45</v>
      </c>
      <c r="J287" s="10">
        <v>2216</v>
      </c>
      <c r="K287" s="11">
        <v>4.690000057220459</v>
      </c>
      <c r="L287" s="12">
        <v>0</v>
      </c>
      <c r="M287" s="5"/>
      <c r="N287" s="5" t="s">
        <v>1280</v>
      </c>
      <c r="O287" s="5" t="s">
        <v>1281</v>
      </c>
    </row>
    <row r="288" spans="1:15">
      <c r="A288" s="6" t="s">
        <v>1282</v>
      </c>
      <c r="B288" s="6" t="s">
        <v>809</v>
      </c>
      <c r="C288" s="6" t="s">
        <v>45</v>
      </c>
      <c r="D288" s="7">
        <v>2216</v>
      </c>
      <c r="E288" s="7" t="s">
        <v>528</v>
      </c>
      <c r="F288" s="7" t="s">
        <v>529</v>
      </c>
      <c r="G288" s="6" t="s">
        <v>1282</v>
      </c>
      <c r="H288" s="6" t="s">
        <v>965</v>
      </c>
      <c r="I288" s="6" t="s">
        <v>677</v>
      </c>
      <c r="J288" s="7">
        <v>2222</v>
      </c>
      <c r="K288" s="8">
        <v>5.4809999465942383</v>
      </c>
      <c r="L288" s="9">
        <v>0</v>
      </c>
      <c r="M288" s="6"/>
      <c r="N288" s="6" t="s">
        <v>1099</v>
      </c>
      <c r="O288" s="6" t="s">
        <v>1283</v>
      </c>
    </row>
    <row r="289" spans="1:15">
      <c r="A289" s="5" t="s">
        <v>1282</v>
      </c>
      <c r="B289" s="5" t="s">
        <v>738</v>
      </c>
      <c r="C289" s="5" t="s">
        <v>43</v>
      </c>
      <c r="D289" s="10">
        <v>2222</v>
      </c>
      <c r="E289" s="35" t="s">
        <v>528</v>
      </c>
      <c r="F289" s="35" t="s">
        <v>529</v>
      </c>
      <c r="G289" s="5" t="s">
        <v>1282</v>
      </c>
      <c r="H289" s="5" t="s">
        <v>815</v>
      </c>
      <c r="I289" s="5" t="s">
        <v>50</v>
      </c>
      <c r="J289" s="10">
        <v>2230</v>
      </c>
      <c r="K289" s="11">
        <v>7.7090001106262207</v>
      </c>
      <c r="L289" s="12">
        <v>0</v>
      </c>
      <c r="M289" s="5"/>
      <c r="N289" s="5" t="s">
        <v>348</v>
      </c>
      <c r="O289" s="5" t="s">
        <v>1284</v>
      </c>
    </row>
    <row r="290" spans="1:15">
      <c r="A290" s="6" t="s">
        <v>1282</v>
      </c>
      <c r="B290" s="6" t="s">
        <v>298</v>
      </c>
      <c r="C290" s="6" t="s">
        <v>50</v>
      </c>
      <c r="D290" s="7">
        <v>2230</v>
      </c>
      <c r="E290" s="7" t="s">
        <v>528</v>
      </c>
      <c r="F290" s="7" t="s">
        <v>529</v>
      </c>
      <c r="G290" s="6" t="s">
        <v>1282</v>
      </c>
      <c r="H290" s="6" t="s">
        <v>1021</v>
      </c>
      <c r="I290" s="6" t="s">
        <v>45</v>
      </c>
      <c r="J290" s="7">
        <v>2239</v>
      </c>
      <c r="K290" s="8">
        <v>9.3050003051757813</v>
      </c>
      <c r="L290" s="9">
        <v>0</v>
      </c>
      <c r="M290" s="6"/>
      <c r="N290" s="6" t="s">
        <v>1285</v>
      </c>
      <c r="O290" s="6" t="s">
        <v>1286</v>
      </c>
    </row>
    <row r="291" spans="1:15">
      <c r="A291" s="5" t="s">
        <v>1287</v>
      </c>
      <c r="B291" s="5" t="s">
        <v>1288</v>
      </c>
      <c r="C291" s="5" t="s">
        <v>17</v>
      </c>
      <c r="D291" s="10">
        <v>2239</v>
      </c>
      <c r="E291" s="35" t="s">
        <v>528</v>
      </c>
      <c r="F291" s="35" t="s">
        <v>529</v>
      </c>
      <c r="G291" s="5" t="s">
        <v>1287</v>
      </c>
      <c r="H291" s="5" t="s">
        <v>48</v>
      </c>
      <c r="I291" s="5" t="s">
        <v>1289</v>
      </c>
      <c r="J291" s="10">
        <v>2250</v>
      </c>
      <c r="K291" s="11">
        <v>10.550999641418457</v>
      </c>
      <c r="L291" s="12">
        <v>0</v>
      </c>
      <c r="M291" s="5"/>
      <c r="N291" s="5" t="s">
        <v>46</v>
      </c>
      <c r="O291" s="5" t="s">
        <v>1290</v>
      </c>
    </row>
    <row r="292" spans="1:15">
      <c r="A292" s="6" t="s">
        <v>1287</v>
      </c>
      <c r="B292" s="6" t="s">
        <v>746</v>
      </c>
      <c r="C292" s="6" t="s">
        <v>1289</v>
      </c>
      <c r="D292" s="7">
        <v>2250</v>
      </c>
      <c r="E292" s="7" t="s">
        <v>528</v>
      </c>
      <c r="F292" s="7" t="s">
        <v>529</v>
      </c>
      <c r="G292" s="6" t="s">
        <v>1287</v>
      </c>
      <c r="H292" s="6" t="s">
        <v>837</v>
      </c>
      <c r="I292" s="6" t="s">
        <v>253</v>
      </c>
      <c r="J292" s="7">
        <v>2262</v>
      </c>
      <c r="K292" s="8">
        <v>12.284999847412109</v>
      </c>
      <c r="L292" s="9">
        <v>0</v>
      </c>
      <c r="M292" s="6"/>
      <c r="N292" s="6" t="s">
        <v>378</v>
      </c>
      <c r="O292" s="6" t="s">
        <v>74</v>
      </c>
    </row>
    <row r="293" spans="1:15">
      <c r="A293" s="5" t="s">
        <v>1287</v>
      </c>
      <c r="B293" s="5" t="s">
        <v>627</v>
      </c>
      <c r="C293" s="5" t="s">
        <v>557</v>
      </c>
      <c r="D293" s="10">
        <v>2262</v>
      </c>
      <c r="E293" s="35" t="s">
        <v>528</v>
      </c>
      <c r="F293" s="35" t="s">
        <v>529</v>
      </c>
      <c r="G293" s="5" t="s">
        <v>1287</v>
      </c>
      <c r="H293" s="5" t="s">
        <v>72</v>
      </c>
      <c r="I293" s="5" t="s">
        <v>17</v>
      </c>
      <c r="J293" s="10">
        <v>2267</v>
      </c>
      <c r="K293" s="11">
        <v>4.4539999961853027</v>
      </c>
      <c r="L293" s="12">
        <v>0</v>
      </c>
      <c r="M293" s="5"/>
      <c r="N293" s="5" t="s">
        <v>207</v>
      </c>
      <c r="O293" s="5" t="s">
        <v>1291</v>
      </c>
    </row>
    <row r="294" spans="1:15">
      <c r="A294" s="6" t="s">
        <v>1287</v>
      </c>
      <c r="B294" s="6" t="s">
        <v>89</v>
      </c>
      <c r="C294" s="6" t="s">
        <v>17</v>
      </c>
      <c r="D294" s="7">
        <v>2267</v>
      </c>
      <c r="E294" s="7" t="s">
        <v>528</v>
      </c>
      <c r="F294" s="7" t="s">
        <v>529</v>
      </c>
      <c r="G294" s="6" t="s">
        <v>1287</v>
      </c>
      <c r="H294" s="6" t="s">
        <v>109</v>
      </c>
      <c r="I294" s="6" t="s">
        <v>1292</v>
      </c>
      <c r="J294" s="7">
        <v>2270</v>
      </c>
      <c r="K294" s="8">
        <v>3.127000093460083</v>
      </c>
      <c r="L294" s="9">
        <v>0</v>
      </c>
      <c r="M294" s="6"/>
      <c r="N294" s="6" t="s">
        <v>1293</v>
      </c>
      <c r="O294" s="6" t="s">
        <v>1294</v>
      </c>
    </row>
    <row r="295" spans="1:15">
      <c r="A295" s="5" t="s">
        <v>1287</v>
      </c>
      <c r="B295" s="5" t="s">
        <v>630</v>
      </c>
      <c r="C295" s="5" t="s">
        <v>1292</v>
      </c>
      <c r="D295" s="10">
        <v>2270</v>
      </c>
      <c r="E295" s="35" t="s">
        <v>528</v>
      </c>
      <c r="F295" s="35" t="s">
        <v>529</v>
      </c>
      <c r="G295" s="5" t="s">
        <v>1287</v>
      </c>
      <c r="H295" s="5" t="s">
        <v>351</v>
      </c>
      <c r="I295" s="5" t="s">
        <v>1292</v>
      </c>
      <c r="J295" s="10">
        <v>2270</v>
      </c>
      <c r="K295" s="11">
        <v>0.21199999749660492</v>
      </c>
      <c r="L295" s="12">
        <v>0</v>
      </c>
      <c r="M295" s="5"/>
      <c r="N295" s="5" t="s">
        <v>1295</v>
      </c>
      <c r="O295" s="5" t="s">
        <v>1296</v>
      </c>
    </row>
    <row r="296" spans="1:15">
      <c r="A296" s="6" t="s">
        <v>1287</v>
      </c>
      <c r="B296" s="6" t="s">
        <v>1297</v>
      </c>
      <c r="C296" s="6" t="s">
        <v>1292</v>
      </c>
      <c r="D296" s="7">
        <v>2270</v>
      </c>
      <c r="E296" s="7" t="s">
        <v>528</v>
      </c>
      <c r="F296" s="7" t="s">
        <v>529</v>
      </c>
      <c r="G296" s="6" t="s">
        <v>1287</v>
      </c>
      <c r="H296" s="6" t="s">
        <v>655</v>
      </c>
      <c r="I296" s="6" t="s">
        <v>45</v>
      </c>
      <c r="J296" s="7">
        <v>2274</v>
      </c>
      <c r="K296" s="8">
        <v>4.3340001106262207</v>
      </c>
      <c r="L296" s="9">
        <v>0</v>
      </c>
      <c r="M296" s="6"/>
      <c r="N296" s="6" t="s">
        <v>1298</v>
      </c>
      <c r="O296" s="6" t="s">
        <v>1299</v>
      </c>
    </row>
    <row r="297" spans="1:15">
      <c r="A297" s="5" t="s">
        <v>1300</v>
      </c>
      <c r="B297" s="5" t="s">
        <v>37</v>
      </c>
      <c r="C297" s="5" t="s">
        <v>45</v>
      </c>
      <c r="D297" s="10">
        <v>2274</v>
      </c>
      <c r="E297" s="35" t="s">
        <v>528</v>
      </c>
      <c r="F297" s="35" t="s">
        <v>529</v>
      </c>
      <c r="G297" s="5" t="s">
        <v>1300</v>
      </c>
      <c r="H297" s="5" t="s">
        <v>38</v>
      </c>
      <c r="I297" s="5" t="s">
        <v>50</v>
      </c>
      <c r="J297" s="10">
        <v>2284</v>
      </c>
      <c r="K297" s="11">
        <v>9.310999870300293</v>
      </c>
      <c r="L297" s="12">
        <v>0</v>
      </c>
      <c r="M297" s="5"/>
      <c r="N297" s="5" t="s">
        <v>1301</v>
      </c>
      <c r="O297" s="5" t="s">
        <v>1302</v>
      </c>
    </row>
    <row r="298" spans="1:15">
      <c r="A298" s="6" t="s">
        <v>1300</v>
      </c>
      <c r="B298" s="6" t="s">
        <v>890</v>
      </c>
      <c r="C298" s="6" t="s">
        <v>50</v>
      </c>
      <c r="D298" s="7">
        <v>2284</v>
      </c>
      <c r="E298" s="7" t="s">
        <v>528</v>
      </c>
      <c r="F298" s="7" t="s">
        <v>529</v>
      </c>
      <c r="G298" s="6" t="s">
        <v>1300</v>
      </c>
      <c r="H298" s="6" t="s">
        <v>718</v>
      </c>
      <c r="I298" s="6" t="s">
        <v>17</v>
      </c>
      <c r="J298" s="7">
        <v>2293</v>
      </c>
      <c r="K298" s="8">
        <v>9.3030004501342773</v>
      </c>
      <c r="L298" s="9">
        <v>0</v>
      </c>
      <c r="M298" s="6"/>
      <c r="N298" s="6" t="s">
        <v>1303</v>
      </c>
      <c r="O298" s="6" t="s">
        <v>1304</v>
      </c>
    </row>
    <row r="299" spans="1:15">
      <c r="A299" s="5" t="s">
        <v>1305</v>
      </c>
      <c r="B299" s="5" t="s">
        <v>889</v>
      </c>
      <c r="C299" s="5" t="s">
        <v>17</v>
      </c>
      <c r="D299" s="10">
        <v>2293</v>
      </c>
      <c r="E299" s="35" t="s">
        <v>528</v>
      </c>
      <c r="F299" s="35" t="s">
        <v>529</v>
      </c>
      <c r="G299" s="5" t="s">
        <v>1305</v>
      </c>
      <c r="H299" s="5" t="s">
        <v>204</v>
      </c>
      <c r="I299" s="5" t="s">
        <v>168</v>
      </c>
      <c r="J299" s="10">
        <v>2304</v>
      </c>
      <c r="K299" s="11">
        <v>11.527000427246094</v>
      </c>
      <c r="L299" s="12">
        <v>0</v>
      </c>
      <c r="M299" s="5"/>
      <c r="N299" s="5" t="s">
        <v>1306</v>
      </c>
      <c r="O299" s="5" t="s">
        <v>1307</v>
      </c>
    </row>
    <row r="300" spans="1:15">
      <c r="A300" s="6" t="s">
        <v>1305</v>
      </c>
      <c r="B300" s="6" t="s">
        <v>718</v>
      </c>
      <c r="C300" s="6" t="s">
        <v>168</v>
      </c>
      <c r="D300" s="7">
        <v>2304</v>
      </c>
      <c r="E300" s="7" t="s">
        <v>528</v>
      </c>
      <c r="F300" s="7" t="s">
        <v>529</v>
      </c>
      <c r="G300" s="6" t="s">
        <v>1305</v>
      </c>
      <c r="H300" s="6" t="s">
        <v>929</v>
      </c>
      <c r="I300" s="6" t="s">
        <v>410</v>
      </c>
      <c r="J300" s="7">
        <v>2316</v>
      </c>
      <c r="K300" s="8">
        <v>11.529999732971191</v>
      </c>
      <c r="L300" s="9">
        <v>0</v>
      </c>
      <c r="M300" s="6"/>
      <c r="N300" s="6" t="s">
        <v>343</v>
      </c>
      <c r="O300" s="6" t="s">
        <v>608</v>
      </c>
    </row>
    <row r="301" spans="1:15">
      <c r="A301" s="5" t="s">
        <v>1305</v>
      </c>
      <c r="B301" s="5" t="s">
        <v>1044</v>
      </c>
      <c r="C301" s="5" t="s">
        <v>410</v>
      </c>
      <c r="D301" s="10">
        <v>2316</v>
      </c>
      <c r="E301" s="35" t="s">
        <v>528</v>
      </c>
      <c r="F301" s="35" t="s">
        <v>529</v>
      </c>
      <c r="G301" s="5" t="s">
        <v>1305</v>
      </c>
      <c r="H301" s="5" t="s">
        <v>1308</v>
      </c>
      <c r="I301" s="5" t="s">
        <v>17</v>
      </c>
      <c r="J301" s="10">
        <v>2317</v>
      </c>
      <c r="K301" s="11">
        <v>1.2020000219345093</v>
      </c>
      <c r="L301" s="12">
        <v>0</v>
      </c>
      <c r="M301" s="5"/>
      <c r="N301" s="5" t="s">
        <v>423</v>
      </c>
      <c r="O301" s="5" t="s">
        <v>1309</v>
      </c>
    </row>
    <row r="302" spans="1:15">
      <c r="A302" s="6" t="s">
        <v>1305</v>
      </c>
      <c r="B302" s="6" t="s">
        <v>92</v>
      </c>
      <c r="C302" s="6" t="s">
        <v>17</v>
      </c>
      <c r="D302" s="7">
        <v>2317</v>
      </c>
      <c r="E302" s="7" t="s">
        <v>528</v>
      </c>
      <c r="F302" s="7" t="s">
        <v>529</v>
      </c>
      <c r="G302" s="6" t="s">
        <v>1305</v>
      </c>
      <c r="H302" s="6" t="s">
        <v>1310</v>
      </c>
      <c r="I302" s="6" t="s">
        <v>280</v>
      </c>
      <c r="J302" s="7">
        <v>2323</v>
      </c>
      <c r="K302" s="8">
        <v>5.5079998970031738</v>
      </c>
      <c r="L302" s="9">
        <v>0</v>
      </c>
      <c r="M302" s="6"/>
      <c r="N302" s="6" t="s">
        <v>1311</v>
      </c>
      <c r="O302" s="6" t="s">
        <v>1312</v>
      </c>
    </row>
    <row r="303" spans="1:15">
      <c r="A303" s="5" t="s">
        <v>1305</v>
      </c>
      <c r="B303" s="5" t="s">
        <v>819</v>
      </c>
      <c r="C303" s="5" t="s">
        <v>280</v>
      </c>
      <c r="D303" s="10">
        <v>2323</v>
      </c>
      <c r="E303" s="35" t="s">
        <v>528</v>
      </c>
      <c r="F303" s="35" t="s">
        <v>529</v>
      </c>
      <c r="G303" s="5" t="s">
        <v>1305</v>
      </c>
      <c r="H303" s="5" t="s">
        <v>130</v>
      </c>
      <c r="I303" s="5" t="s">
        <v>45</v>
      </c>
      <c r="J303" s="10">
        <v>2329</v>
      </c>
      <c r="K303" s="11">
        <v>5.814000129699707</v>
      </c>
      <c r="L303" s="12">
        <v>0</v>
      </c>
      <c r="M303" s="5"/>
      <c r="N303" s="5" t="s">
        <v>607</v>
      </c>
      <c r="O303" s="5" t="s">
        <v>1313</v>
      </c>
    </row>
    <row r="304" spans="1:15">
      <c r="A304" s="6" t="s">
        <v>1314</v>
      </c>
      <c r="B304" s="6" t="s">
        <v>1308</v>
      </c>
      <c r="C304" s="6" t="s">
        <v>45</v>
      </c>
      <c r="D304" s="7">
        <v>2329</v>
      </c>
      <c r="E304" s="7" t="s">
        <v>528</v>
      </c>
      <c r="F304" s="7" t="s">
        <v>529</v>
      </c>
      <c r="G304" s="6" t="s">
        <v>1314</v>
      </c>
      <c r="H304" s="6" t="s">
        <v>736</v>
      </c>
      <c r="I304" s="6" t="s">
        <v>457</v>
      </c>
      <c r="J304" s="7">
        <v>2332</v>
      </c>
      <c r="K304" s="8">
        <v>3.375</v>
      </c>
      <c r="L304" s="9">
        <v>0</v>
      </c>
      <c r="M304" s="6"/>
      <c r="N304" s="6" t="s">
        <v>663</v>
      </c>
      <c r="O304" s="6" t="s">
        <v>1315</v>
      </c>
    </row>
    <row r="305" spans="1:15">
      <c r="A305" s="5" t="s">
        <v>1314</v>
      </c>
      <c r="B305" s="5" t="s">
        <v>1316</v>
      </c>
      <c r="C305" s="5" t="s">
        <v>457</v>
      </c>
      <c r="D305" s="10">
        <v>2332</v>
      </c>
      <c r="E305" s="35" t="s">
        <v>528</v>
      </c>
      <c r="F305" s="35" t="s">
        <v>529</v>
      </c>
      <c r="G305" s="5" t="s">
        <v>1314</v>
      </c>
      <c r="H305" s="5" t="s">
        <v>192</v>
      </c>
      <c r="I305" s="5" t="s">
        <v>168</v>
      </c>
      <c r="J305" s="10">
        <v>2341</v>
      </c>
      <c r="K305" s="11">
        <v>9.2309999465942383</v>
      </c>
      <c r="L305" s="12">
        <v>0</v>
      </c>
      <c r="M305" s="5"/>
      <c r="N305" s="5" t="s">
        <v>284</v>
      </c>
      <c r="O305" s="5" t="s">
        <v>1079</v>
      </c>
    </row>
    <row r="306" spans="1:15">
      <c r="A306" s="6" t="s">
        <v>1314</v>
      </c>
      <c r="B306" s="6" t="s">
        <v>456</v>
      </c>
      <c r="C306" s="6" t="s">
        <v>168</v>
      </c>
      <c r="D306" s="7">
        <v>2341</v>
      </c>
      <c r="E306" s="7" t="s">
        <v>528</v>
      </c>
      <c r="F306" s="7" t="s">
        <v>529</v>
      </c>
      <c r="G306" s="6" t="s">
        <v>1314</v>
      </c>
      <c r="H306" s="6" t="s">
        <v>75</v>
      </c>
      <c r="I306" s="6" t="s">
        <v>905</v>
      </c>
      <c r="J306" s="7">
        <v>2343</v>
      </c>
      <c r="K306" s="8">
        <v>1.6030000448226929</v>
      </c>
      <c r="L306" s="9">
        <v>0</v>
      </c>
      <c r="M306" s="6"/>
      <c r="N306" s="6" t="s">
        <v>1317</v>
      </c>
      <c r="O306" s="6" t="s">
        <v>1318</v>
      </c>
    </row>
    <row r="307" spans="1:15">
      <c r="A307" s="5" t="s">
        <v>1314</v>
      </c>
      <c r="B307" s="5" t="s">
        <v>1012</v>
      </c>
      <c r="C307" s="5" t="s">
        <v>905</v>
      </c>
      <c r="D307" s="10">
        <v>2343</v>
      </c>
      <c r="E307" s="35" t="s">
        <v>528</v>
      </c>
      <c r="F307" s="35" t="s">
        <v>529</v>
      </c>
      <c r="G307" s="5" t="s">
        <v>1314</v>
      </c>
      <c r="H307" s="5" t="s">
        <v>271</v>
      </c>
      <c r="I307" s="5" t="s">
        <v>50</v>
      </c>
      <c r="J307" s="10">
        <v>2346</v>
      </c>
      <c r="K307" s="11">
        <v>2.8080000877380371</v>
      </c>
      <c r="L307" s="12">
        <v>0</v>
      </c>
      <c r="M307" s="5"/>
      <c r="N307" s="5" t="s">
        <v>227</v>
      </c>
      <c r="O307" s="5" t="s">
        <v>1319</v>
      </c>
    </row>
    <row r="308" spans="1:15">
      <c r="A308" s="6" t="s">
        <v>1314</v>
      </c>
      <c r="B308" s="6" t="s">
        <v>180</v>
      </c>
      <c r="C308" s="6" t="s">
        <v>50</v>
      </c>
      <c r="D308" s="7">
        <v>2346</v>
      </c>
      <c r="E308" s="7" t="s">
        <v>528</v>
      </c>
      <c r="F308" s="7" t="s">
        <v>529</v>
      </c>
      <c r="G308" s="6" t="s">
        <v>1314</v>
      </c>
      <c r="H308" s="6" t="s">
        <v>58</v>
      </c>
      <c r="I308" s="6" t="s">
        <v>17</v>
      </c>
      <c r="J308" s="7">
        <v>2356</v>
      </c>
      <c r="K308" s="8">
        <v>10.133999824523926</v>
      </c>
      <c r="L308" s="9">
        <v>0</v>
      </c>
      <c r="M308" s="6"/>
      <c r="N308" s="6" t="s">
        <v>1320</v>
      </c>
      <c r="O308" s="6" t="s">
        <v>1321</v>
      </c>
    </row>
    <row r="309" spans="1:15">
      <c r="A309" s="5" t="s">
        <v>1314</v>
      </c>
      <c r="B309" s="5" t="s">
        <v>58</v>
      </c>
      <c r="C309" s="5" t="s">
        <v>17</v>
      </c>
      <c r="D309" s="10">
        <v>2356</v>
      </c>
      <c r="E309" s="35" t="s">
        <v>528</v>
      </c>
      <c r="F309" s="35" t="s">
        <v>529</v>
      </c>
      <c r="G309" s="5" t="s">
        <v>1314</v>
      </c>
      <c r="H309" s="5" t="s">
        <v>505</v>
      </c>
      <c r="I309" s="5" t="s">
        <v>17</v>
      </c>
      <c r="J309" s="10">
        <v>2356</v>
      </c>
      <c r="K309" s="11">
        <v>0.2630000114440918</v>
      </c>
      <c r="L309" s="12">
        <v>0</v>
      </c>
      <c r="M309" s="5"/>
      <c r="N309" s="5" t="s">
        <v>377</v>
      </c>
      <c r="O309" s="5" t="s">
        <v>1322</v>
      </c>
    </row>
    <row r="310" spans="1:15">
      <c r="A310" s="6" t="s">
        <v>1314</v>
      </c>
      <c r="B310" s="6" t="s">
        <v>957</v>
      </c>
      <c r="C310" s="6" t="s">
        <v>17</v>
      </c>
      <c r="D310" s="7">
        <v>2356</v>
      </c>
      <c r="E310" s="7" t="s">
        <v>528</v>
      </c>
      <c r="F310" s="7" t="s">
        <v>529</v>
      </c>
      <c r="G310" s="6" t="s">
        <v>1314</v>
      </c>
      <c r="H310" s="6" t="s">
        <v>347</v>
      </c>
      <c r="I310" s="6" t="s">
        <v>677</v>
      </c>
      <c r="J310" s="7">
        <v>2361</v>
      </c>
      <c r="K310" s="8">
        <v>5.4470000267028809</v>
      </c>
      <c r="L310" s="9">
        <v>0</v>
      </c>
      <c r="M310" s="6"/>
      <c r="N310" s="6" t="s">
        <v>391</v>
      </c>
      <c r="O310" s="6" t="s">
        <v>1323</v>
      </c>
    </row>
    <row r="311" spans="1:15">
      <c r="A311" s="5" t="s">
        <v>1314</v>
      </c>
      <c r="B311" s="5" t="s">
        <v>875</v>
      </c>
      <c r="C311" s="5" t="s">
        <v>43</v>
      </c>
      <c r="D311" s="10">
        <v>2361</v>
      </c>
      <c r="E311" s="35" t="s">
        <v>528</v>
      </c>
      <c r="F311" s="35" t="s">
        <v>529</v>
      </c>
      <c r="G311" s="5" t="s">
        <v>1314</v>
      </c>
      <c r="H311" s="5" t="s">
        <v>350</v>
      </c>
      <c r="I311" s="5" t="s">
        <v>45</v>
      </c>
      <c r="J311" s="10">
        <v>2367</v>
      </c>
      <c r="K311" s="11">
        <v>5.6430001258850098</v>
      </c>
      <c r="L311" s="12">
        <v>0</v>
      </c>
      <c r="M311" s="5"/>
      <c r="N311" s="5" t="s">
        <v>656</v>
      </c>
      <c r="O311" s="5" t="s">
        <v>1324</v>
      </c>
    </row>
    <row r="312" spans="1:15">
      <c r="A312" s="6" t="s">
        <v>1314</v>
      </c>
      <c r="B312" s="6" t="s">
        <v>1325</v>
      </c>
      <c r="C312" s="6" t="s">
        <v>45</v>
      </c>
      <c r="D312" s="7">
        <v>2367</v>
      </c>
      <c r="E312" s="7" t="s">
        <v>528</v>
      </c>
      <c r="F312" s="7" t="s">
        <v>529</v>
      </c>
      <c r="G312" s="6" t="s">
        <v>1314</v>
      </c>
      <c r="H312" s="6" t="s">
        <v>1326</v>
      </c>
      <c r="I312" s="6" t="s">
        <v>253</v>
      </c>
      <c r="J312" s="7">
        <v>2371</v>
      </c>
      <c r="K312" s="8">
        <v>4.3889999389648438</v>
      </c>
      <c r="L312" s="9">
        <v>0</v>
      </c>
      <c r="M312" s="6"/>
      <c r="N312" s="6" t="s">
        <v>1327</v>
      </c>
      <c r="O312" s="6" t="s">
        <v>1328</v>
      </c>
    </row>
    <row r="313" spans="1:15">
      <c r="A313" s="5" t="s">
        <v>1314</v>
      </c>
      <c r="B313" s="5" t="s">
        <v>1329</v>
      </c>
      <c r="C313" s="5" t="s">
        <v>253</v>
      </c>
      <c r="D313" s="10">
        <v>2371</v>
      </c>
      <c r="E313" s="35" t="s">
        <v>528</v>
      </c>
      <c r="F313" s="35" t="s">
        <v>529</v>
      </c>
      <c r="G313" s="5" t="s">
        <v>1314</v>
      </c>
      <c r="H313" s="5" t="s">
        <v>1330</v>
      </c>
      <c r="I313" s="5" t="s">
        <v>45</v>
      </c>
      <c r="J313" s="10">
        <v>2376</v>
      </c>
      <c r="K313" s="11">
        <v>4.5489997863769531</v>
      </c>
      <c r="L313" s="12">
        <v>0</v>
      </c>
      <c r="M313" s="5"/>
      <c r="N313" s="5" t="s">
        <v>1331</v>
      </c>
      <c r="O313" s="5" t="s">
        <v>1332</v>
      </c>
    </row>
    <row r="314" spans="1:15">
      <c r="A314" s="6" t="s">
        <v>1333</v>
      </c>
      <c r="B314" s="6" t="s">
        <v>214</v>
      </c>
      <c r="C314" s="6" t="s">
        <v>45</v>
      </c>
      <c r="D314" s="7">
        <v>2376</v>
      </c>
      <c r="E314" s="7" t="s">
        <v>528</v>
      </c>
      <c r="F314" s="7" t="s">
        <v>529</v>
      </c>
      <c r="G314" s="6" t="s">
        <v>1333</v>
      </c>
      <c r="H314" s="6" t="s">
        <v>188</v>
      </c>
      <c r="I314" s="6" t="s">
        <v>1334</v>
      </c>
      <c r="J314" s="7">
        <v>2382</v>
      </c>
      <c r="K314" s="8">
        <v>6.2960000038146973</v>
      </c>
      <c r="L314" s="9">
        <v>0</v>
      </c>
      <c r="M314" s="6"/>
      <c r="N314" s="6" t="s">
        <v>1335</v>
      </c>
      <c r="O314" s="6" t="s">
        <v>584</v>
      </c>
    </row>
    <row r="315" spans="1:15">
      <c r="A315" s="5" t="s">
        <v>1333</v>
      </c>
      <c r="B315" s="5" t="s">
        <v>93</v>
      </c>
      <c r="C315" s="5" t="s">
        <v>1334</v>
      </c>
      <c r="D315" s="10">
        <v>2382</v>
      </c>
      <c r="E315" s="35" t="s">
        <v>528</v>
      </c>
      <c r="F315" s="35" t="s">
        <v>529</v>
      </c>
      <c r="G315" s="5" t="s">
        <v>1333</v>
      </c>
      <c r="H315" s="5" t="s">
        <v>513</v>
      </c>
      <c r="I315" s="5" t="s">
        <v>1336</v>
      </c>
      <c r="J315" s="10">
        <v>2394</v>
      </c>
      <c r="K315" s="11">
        <v>11.961000442504883</v>
      </c>
      <c r="L315" s="12">
        <v>0</v>
      </c>
      <c r="M315" s="5"/>
      <c r="N315" s="5" t="s">
        <v>1337</v>
      </c>
      <c r="O315" s="5" t="s">
        <v>1338</v>
      </c>
    </row>
    <row r="316" spans="1:15">
      <c r="A316" s="6" t="s">
        <v>1333</v>
      </c>
      <c r="B316" s="6" t="s">
        <v>351</v>
      </c>
      <c r="C316" s="6" t="s">
        <v>1336</v>
      </c>
      <c r="D316" s="7">
        <v>2394</v>
      </c>
      <c r="E316" s="7" t="s">
        <v>528</v>
      </c>
      <c r="F316" s="7" t="s">
        <v>529</v>
      </c>
      <c r="G316" s="6" t="s">
        <v>1333</v>
      </c>
      <c r="H316" s="6" t="s">
        <v>1193</v>
      </c>
      <c r="I316" s="6" t="s">
        <v>45</v>
      </c>
      <c r="J316" s="7">
        <v>2411</v>
      </c>
      <c r="K316" s="8">
        <v>17.259000778198242</v>
      </c>
      <c r="L316" s="9">
        <v>0</v>
      </c>
      <c r="M316" s="6"/>
      <c r="N316" s="6" t="s">
        <v>1339</v>
      </c>
      <c r="O316" s="6" t="s">
        <v>1340</v>
      </c>
    </row>
    <row r="317" spans="1:15">
      <c r="A317" s="5" t="s">
        <v>1341</v>
      </c>
      <c r="B317" s="5" t="s">
        <v>600</v>
      </c>
      <c r="C317" s="5" t="s">
        <v>45</v>
      </c>
      <c r="D317" s="10">
        <v>2411</v>
      </c>
      <c r="E317" s="35" t="s">
        <v>528</v>
      </c>
      <c r="F317" s="35" t="s">
        <v>529</v>
      </c>
      <c r="G317" s="5" t="s">
        <v>1341</v>
      </c>
      <c r="H317" s="5" t="s">
        <v>441</v>
      </c>
      <c r="I317" s="5" t="s">
        <v>247</v>
      </c>
      <c r="J317" s="10">
        <v>2416</v>
      </c>
      <c r="K317" s="11">
        <v>4.8880000114440918</v>
      </c>
      <c r="L317" s="12">
        <v>0</v>
      </c>
      <c r="M317" s="5"/>
      <c r="N317" s="5" t="s">
        <v>1342</v>
      </c>
      <c r="O317" s="5" t="s">
        <v>1343</v>
      </c>
    </row>
    <row r="318" spans="1:15">
      <c r="A318" s="6" t="s">
        <v>1341</v>
      </c>
      <c r="B318" s="6" t="s">
        <v>63</v>
      </c>
      <c r="C318" s="6" t="s">
        <v>247</v>
      </c>
      <c r="D318" s="7">
        <v>2416</v>
      </c>
      <c r="E318" s="7" t="s">
        <v>528</v>
      </c>
      <c r="F318" s="7" t="s">
        <v>529</v>
      </c>
      <c r="G318" s="6" t="s">
        <v>1341</v>
      </c>
      <c r="H318" s="6" t="s">
        <v>49</v>
      </c>
      <c r="I318" s="6" t="s">
        <v>45</v>
      </c>
      <c r="J318" s="7">
        <v>2421</v>
      </c>
      <c r="K318" s="8">
        <v>4.9980001449584961</v>
      </c>
      <c r="L318" s="9">
        <v>0</v>
      </c>
      <c r="M318" s="6"/>
      <c r="N318" s="6" t="s">
        <v>1331</v>
      </c>
      <c r="O318" s="6" t="s">
        <v>1344</v>
      </c>
    </row>
    <row r="319" spans="1:15">
      <c r="A319" s="5" t="s">
        <v>1341</v>
      </c>
      <c r="B319" s="5" t="s">
        <v>171</v>
      </c>
      <c r="C319" s="5" t="s">
        <v>45</v>
      </c>
      <c r="D319" s="10">
        <v>2421</v>
      </c>
      <c r="E319" s="35" t="s">
        <v>528</v>
      </c>
      <c r="F319" s="35" t="s">
        <v>529</v>
      </c>
      <c r="G319" s="5" t="s">
        <v>1341</v>
      </c>
      <c r="H319" s="5" t="s">
        <v>75</v>
      </c>
      <c r="I319" s="5" t="s">
        <v>548</v>
      </c>
      <c r="J319" s="10">
        <v>2428</v>
      </c>
      <c r="K319" s="11">
        <v>6.6880002021789551</v>
      </c>
      <c r="L319" s="12">
        <v>0</v>
      </c>
      <c r="M319" s="5"/>
      <c r="N319" s="5" t="s">
        <v>719</v>
      </c>
      <c r="O319" s="5" t="s">
        <v>1345</v>
      </c>
    </row>
    <row r="320" spans="1:15">
      <c r="A320" s="6" t="s">
        <v>1341</v>
      </c>
      <c r="B320" s="6" t="s">
        <v>80</v>
      </c>
      <c r="C320" s="6" t="s">
        <v>548</v>
      </c>
      <c r="D320" s="7">
        <v>2428</v>
      </c>
      <c r="E320" s="7" t="s">
        <v>528</v>
      </c>
      <c r="F320" s="7" t="s">
        <v>529</v>
      </c>
      <c r="G320" s="6" t="s">
        <v>1341</v>
      </c>
      <c r="H320" s="6" t="s">
        <v>238</v>
      </c>
      <c r="I320" s="6" t="s">
        <v>45</v>
      </c>
      <c r="J320" s="7">
        <v>2437</v>
      </c>
      <c r="K320" s="8">
        <v>9.1020002365112305</v>
      </c>
      <c r="L320" s="9">
        <v>0</v>
      </c>
      <c r="M320" s="6"/>
      <c r="N320" s="6" t="s">
        <v>1346</v>
      </c>
      <c r="O320" s="6" t="s">
        <v>1347</v>
      </c>
    </row>
    <row r="321" spans="1:15">
      <c r="A321" s="5" t="s">
        <v>1341</v>
      </c>
      <c r="B321" s="5" t="s">
        <v>1348</v>
      </c>
      <c r="C321" s="5" t="s">
        <v>45</v>
      </c>
      <c r="D321" s="10">
        <v>2437</v>
      </c>
      <c r="E321" s="35" t="s">
        <v>528</v>
      </c>
      <c r="F321" s="35" t="s">
        <v>529</v>
      </c>
      <c r="G321" s="5" t="s">
        <v>1341</v>
      </c>
      <c r="H321" s="5" t="s">
        <v>159</v>
      </c>
      <c r="I321" s="5" t="s">
        <v>548</v>
      </c>
      <c r="J321" s="10">
        <v>2443</v>
      </c>
      <c r="K321" s="11">
        <v>5.7909998893737793</v>
      </c>
      <c r="L321" s="12">
        <v>0</v>
      </c>
      <c r="M321" s="5"/>
      <c r="N321" s="5" t="s">
        <v>94</v>
      </c>
      <c r="O321" s="5" t="s">
        <v>1207</v>
      </c>
    </row>
    <row r="322" spans="1:15">
      <c r="A322" s="6" t="s">
        <v>1341</v>
      </c>
      <c r="B322" s="6" t="s">
        <v>163</v>
      </c>
      <c r="C322" s="6" t="s">
        <v>548</v>
      </c>
      <c r="D322" s="7">
        <v>2443</v>
      </c>
      <c r="E322" s="7" t="s">
        <v>528</v>
      </c>
      <c r="F322" s="7" t="s">
        <v>529</v>
      </c>
      <c r="G322" s="6" t="s">
        <v>1341</v>
      </c>
      <c r="H322" s="6" t="s">
        <v>630</v>
      </c>
      <c r="I322" s="6" t="s">
        <v>17</v>
      </c>
      <c r="J322" s="7">
        <v>2449</v>
      </c>
      <c r="K322" s="8">
        <v>6.5159997940063477</v>
      </c>
      <c r="L322" s="9">
        <v>0</v>
      </c>
      <c r="M322" s="6"/>
      <c r="N322" s="6" t="s">
        <v>1349</v>
      </c>
      <c r="O322" s="6" t="s">
        <v>1350</v>
      </c>
    </row>
    <row r="323" spans="1:15">
      <c r="A323" s="5" t="s">
        <v>1351</v>
      </c>
      <c r="B323" s="5" t="s">
        <v>84</v>
      </c>
      <c r="C323" s="5" t="s">
        <v>17</v>
      </c>
      <c r="D323" s="10">
        <v>2450</v>
      </c>
      <c r="E323" s="35" t="s">
        <v>528</v>
      </c>
      <c r="F323" s="35" t="s">
        <v>529</v>
      </c>
      <c r="G323" s="5" t="s">
        <v>1351</v>
      </c>
      <c r="H323" s="5" t="s">
        <v>347</v>
      </c>
      <c r="I323" s="5" t="s">
        <v>168</v>
      </c>
      <c r="J323" s="10">
        <v>2461</v>
      </c>
      <c r="K323" s="11">
        <v>11.579999923706055</v>
      </c>
      <c r="L323" s="12">
        <v>0</v>
      </c>
      <c r="M323" s="5"/>
      <c r="N323" s="5" t="s">
        <v>1352</v>
      </c>
      <c r="O323" s="5" t="s">
        <v>1353</v>
      </c>
    </row>
    <row r="324" spans="1:15">
      <c r="A324" s="6" t="s">
        <v>1351</v>
      </c>
      <c r="B324" s="6" t="s">
        <v>1249</v>
      </c>
      <c r="C324" s="6" t="s">
        <v>168</v>
      </c>
      <c r="D324" s="7">
        <v>2461</v>
      </c>
      <c r="E324" s="7" t="s">
        <v>528</v>
      </c>
      <c r="F324" s="7" t="s">
        <v>529</v>
      </c>
      <c r="G324" s="6" t="s">
        <v>1351</v>
      </c>
      <c r="H324" s="6" t="s">
        <v>513</v>
      </c>
      <c r="I324" s="6" t="s">
        <v>280</v>
      </c>
      <c r="J324" s="7">
        <v>2469</v>
      </c>
      <c r="K324" s="8">
        <v>7.7350001335144043</v>
      </c>
      <c r="L324" s="9">
        <v>0</v>
      </c>
      <c r="M324" s="6"/>
      <c r="N324" s="6" t="s">
        <v>1354</v>
      </c>
      <c r="O324" s="6" t="s">
        <v>1355</v>
      </c>
    </row>
    <row r="325" spans="1:15">
      <c r="A325" s="5" t="s">
        <v>1351</v>
      </c>
      <c r="B325" s="5" t="s">
        <v>655</v>
      </c>
      <c r="C325" s="5" t="s">
        <v>280</v>
      </c>
      <c r="D325" s="10">
        <v>2469</v>
      </c>
      <c r="E325" s="35" t="s">
        <v>528</v>
      </c>
      <c r="F325" s="35" t="s">
        <v>529</v>
      </c>
      <c r="G325" s="5" t="s">
        <v>1351</v>
      </c>
      <c r="H325" s="5" t="s">
        <v>823</v>
      </c>
      <c r="I325" s="5" t="s">
        <v>428</v>
      </c>
      <c r="J325" s="10">
        <v>2474</v>
      </c>
      <c r="K325" s="11">
        <v>4.6100001335144043</v>
      </c>
      <c r="L325" s="12">
        <v>0</v>
      </c>
      <c r="M325" s="5"/>
      <c r="N325" s="5" t="s">
        <v>1356</v>
      </c>
      <c r="O325" s="5" t="s">
        <v>1022</v>
      </c>
    </row>
    <row r="326" spans="1:15">
      <c r="A326" s="6" t="s">
        <v>1351</v>
      </c>
      <c r="B326" s="6" t="s">
        <v>823</v>
      </c>
      <c r="C326" s="6" t="s">
        <v>29</v>
      </c>
      <c r="D326" s="7">
        <v>2474</v>
      </c>
      <c r="E326" s="7" t="s">
        <v>528</v>
      </c>
      <c r="F326" s="7" t="s">
        <v>529</v>
      </c>
      <c r="G326" s="6" t="s">
        <v>1351</v>
      </c>
      <c r="H326" s="6" t="s">
        <v>1357</v>
      </c>
      <c r="I326" s="6" t="s">
        <v>45</v>
      </c>
      <c r="J326" s="7">
        <v>2484</v>
      </c>
      <c r="K326" s="8">
        <v>10.744999885559082</v>
      </c>
      <c r="L326" s="9">
        <v>0</v>
      </c>
      <c r="M326" s="6"/>
      <c r="N326" s="6" t="s">
        <v>1358</v>
      </c>
      <c r="O326" s="6" t="s">
        <v>1359</v>
      </c>
    </row>
    <row r="327" spans="1:15">
      <c r="A327" s="5" t="s">
        <v>1351</v>
      </c>
      <c r="B327" s="5" t="s">
        <v>1360</v>
      </c>
      <c r="C327" s="5" t="s">
        <v>45</v>
      </c>
      <c r="D327" s="10">
        <v>2484</v>
      </c>
      <c r="E327" s="35" t="s">
        <v>528</v>
      </c>
      <c r="F327" s="35" t="s">
        <v>529</v>
      </c>
      <c r="G327" s="5" t="s">
        <v>1351</v>
      </c>
      <c r="H327" s="5" t="s">
        <v>518</v>
      </c>
      <c r="I327" s="5" t="s">
        <v>1361</v>
      </c>
      <c r="J327" s="10">
        <v>2485</v>
      </c>
      <c r="K327" s="11">
        <v>0.24500000476837158</v>
      </c>
      <c r="L327" s="12">
        <v>0</v>
      </c>
      <c r="M327" s="5"/>
      <c r="N327" s="5" t="s">
        <v>584</v>
      </c>
      <c r="O327" s="5" t="s">
        <v>741</v>
      </c>
    </row>
    <row r="328" spans="1:15">
      <c r="A328" s="6" t="s">
        <v>1351</v>
      </c>
      <c r="B328" s="6" t="s">
        <v>1122</v>
      </c>
      <c r="C328" s="6" t="s">
        <v>1361</v>
      </c>
      <c r="D328" s="7">
        <v>2485</v>
      </c>
      <c r="E328" s="7" t="s">
        <v>528</v>
      </c>
      <c r="F328" s="7" t="s">
        <v>529</v>
      </c>
      <c r="G328" s="6" t="s">
        <v>1351</v>
      </c>
      <c r="H328" s="6" t="s">
        <v>662</v>
      </c>
      <c r="I328" s="6" t="s">
        <v>17</v>
      </c>
      <c r="J328" s="7">
        <v>2485</v>
      </c>
      <c r="K328" s="8">
        <v>0.32400000095367432</v>
      </c>
      <c r="L328" s="9">
        <v>0</v>
      </c>
      <c r="M328" s="6"/>
      <c r="N328" s="6" t="s">
        <v>1131</v>
      </c>
      <c r="O328" s="6" t="s">
        <v>1362</v>
      </c>
    </row>
    <row r="329" spans="1:15">
      <c r="A329" s="5" t="s">
        <v>1351</v>
      </c>
      <c r="B329" s="5" t="s">
        <v>1363</v>
      </c>
      <c r="C329" s="5" t="s">
        <v>1361</v>
      </c>
      <c r="D329" s="10">
        <v>2485</v>
      </c>
      <c r="E329" s="35" t="s">
        <v>528</v>
      </c>
      <c r="F329" s="35" t="s">
        <v>529</v>
      </c>
      <c r="G329" s="5" t="s">
        <v>1351</v>
      </c>
      <c r="H329" s="5" t="s">
        <v>1364</v>
      </c>
      <c r="I329" s="5" t="s">
        <v>17</v>
      </c>
      <c r="J329" s="10">
        <v>2485</v>
      </c>
      <c r="K329" s="11">
        <v>0.42899999022483826</v>
      </c>
      <c r="L329" s="12">
        <v>0</v>
      </c>
      <c r="M329" s="5"/>
      <c r="N329" s="5" t="s">
        <v>1365</v>
      </c>
      <c r="O329" s="5" t="s">
        <v>1366</v>
      </c>
    </row>
    <row r="330" spans="1:15">
      <c r="A330" s="6" t="s">
        <v>1367</v>
      </c>
      <c r="B330" s="6" t="s">
        <v>1368</v>
      </c>
      <c r="C330" s="6" t="s">
        <v>17</v>
      </c>
      <c r="D330" s="7">
        <v>2485</v>
      </c>
      <c r="E330" s="7" t="s">
        <v>528</v>
      </c>
      <c r="F330" s="7" t="s">
        <v>529</v>
      </c>
      <c r="G330" s="6" t="s">
        <v>1367</v>
      </c>
      <c r="H330" s="6" t="s">
        <v>1369</v>
      </c>
      <c r="I330" s="6" t="s">
        <v>17</v>
      </c>
      <c r="J330" s="7">
        <v>2486</v>
      </c>
      <c r="K330" s="8">
        <v>0.61299997568130493</v>
      </c>
      <c r="L330" s="9">
        <v>0</v>
      </c>
      <c r="M330" s="6"/>
      <c r="N330" s="6" t="s">
        <v>1343</v>
      </c>
      <c r="O330" s="6" t="s">
        <v>1370</v>
      </c>
    </row>
    <row r="331" spans="1:15">
      <c r="A331" s="5" t="s">
        <v>1371</v>
      </c>
      <c r="B331" s="5" t="s">
        <v>101</v>
      </c>
      <c r="C331" s="5" t="s">
        <v>45</v>
      </c>
      <c r="D331" s="10">
        <v>2486</v>
      </c>
      <c r="E331" s="35" t="s">
        <v>528</v>
      </c>
      <c r="F331" s="35" t="s">
        <v>529</v>
      </c>
      <c r="G331" s="5" t="s">
        <v>1371</v>
      </c>
      <c r="H331" s="5" t="s">
        <v>63</v>
      </c>
      <c r="I331" s="5" t="s">
        <v>548</v>
      </c>
      <c r="J331" s="10">
        <v>2492</v>
      </c>
      <c r="K331" s="11">
        <v>5.880000114440918</v>
      </c>
      <c r="L331" s="12">
        <v>0</v>
      </c>
      <c r="M331" s="5"/>
      <c r="N331" s="5" t="s">
        <v>1372</v>
      </c>
      <c r="O331" s="5" t="s">
        <v>1373</v>
      </c>
    </row>
    <row r="332" spans="1:15">
      <c r="A332" s="6" t="s">
        <v>1371</v>
      </c>
      <c r="B332" s="6" t="s">
        <v>382</v>
      </c>
      <c r="C332" s="6" t="s">
        <v>548</v>
      </c>
      <c r="D332" s="7">
        <v>2492</v>
      </c>
      <c r="E332" s="7" t="s">
        <v>528</v>
      </c>
      <c r="F332" s="7" t="s">
        <v>529</v>
      </c>
      <c r="G332" s="6" t="s">
        <v>1371</v>
      </c>
      <c r="H332" s="6" t="s">
        <v>260</v>
      </c>
      <c r="I332" s="6" t="s">
        <v>45</v>
      </c>
      <c r="J332" s="7">
        <v>2499</v>
      </c>
      <c r="K332" s="8">
        <v>6.6700000762939453</v>
      </c>
      <c r="L332" s="9">
        <v>0</v>
      </c>
      <c r="M332" s="6"/>
      <c r="N332" s="6" t="s">
        <v>519</v>
      </c>
      <c r="O332" s="6" t="s">
        <v>1374</v>
      </c>
    </row>
    <row r="333" spans="1:15">
      <c r="A333" s="5" t="s">
        <v>1375</v>
      </c>
      <c r="B333" s="5" t="s">
        <v>1249</v>
      </c>
      <c r="C333" s="5" t="s">
        <v>45</v>
      </c>
      <c r="D333" s="10">
        <v>2499</v>
      </c>
      <c r="E333" s="35" t="s">
        <v>528</v>
      </c>
      <c r="F333" s="35" t="s">
        <v>529</v>
      </c>
      <c r="G333" s="5" t="s">
        <v>1375</v>
      </c>
      <c r="H333" s="5" t="s">
        <v>130</v>
      </c>
      <c r="I333" s="5" t="s">
        <v>713</v>
      </c>
      <c r="J333" s="10">
        <v>2500</v>
      </c>
      <c r="K333" s="11">
        <v>1.6349999904632568</v>
      </c>
      <c r="L333" s="12">
        <v>0</v>
      </c>
      <c r="M333" s="5"/>
      <c r="N333" s="5" t="s">
        <v>189</v>
      </c>
      <c r="O333" s="5" t="s">
        <v>782</v>
      </c>
    </row>
    <row r="334" spans="1:15">
      <c r="A334" s="6" t="s">
        <v>1375</v>
      </c>
      <c r="B334" s="6" t="s">
        <v>1297</v>
      </c>
      <c r="C334" s="6" t="s">
        <v>713</v>
      </c>
      <c r="D334" s="7">
        <v>2500</v>
      </c>
      <c r="E334" s="7" t="s">
        <v>528</v>
      </c>
      <c r="F334" s="7" t="s">
        <v>529</v>
      </c>
      <c r="G334" s="6" t="s">
        <v>1375</v>
      </c>
      <c r="H334" s="6" t="s">
        <v>537</v>
      </c>
      <c r="I334" s="6" t="s">
        <v>45</v>
      </c>
      <c r="J334" s="7">
        <v>2503</v>
      </c>
      <c r="K334" s="8">
        <v>2.5079998970031738</v>
      </c>
      <c r="L334" s="9">
        <v>0</v>
      </c>
      <c r="M334" s="6"/>
      <c r="N334" s="6" t="s">
        <v>227</v>
      </c>
      <c r="O334" s="6" t="s">
        <v>1376</v>
      </c>
    </row>
    <row r="335" spans="1:15">
      <c r="A335" s="5" t="s">
        <v>1377</v>
      </c>
      <c r="B335" s="5" t="s">
        <v>601</v>
      </c>
      <c r="C335" s="5" t="s">
        <v>45</v>
      </c>
      <c r="D335" s="10">
        <v>2503</v>
      </c>
      <c r="E335" s="35" t="s">
        <v>528</v>
      </c>
      <c r="F335" s="35" t="s">
        <v>529</v>
      </c>
      <c r="G335" s="5" t="s">
        <v>1377</v>
      </c>
      <c r="H335" s="5" t="s">
        <v>104</v>
      </c>
      <c r="I335" s="5" t="s">
        <v>1215</v>
      </c>
      <c r="J335" s="10">
        <v>2507</v>
      </c>
      <c r="K335" s="11">
        <v>3.9189999103546143</v>
      </c>
      <c r="L335" s="12">
        <v>0</v>
      </c>
      <c r="M335" s="5"/>
      <c r="N335" s="5" t="s">
        <v>245</v>
      </c>
      <c r="O335" s="5" t="s">
        <v>1378</v>
      </c>
    </row>
    <row r="336" spans="1:15">
      <c r="A336" s="6" t="s">
        <v>1377</v>
      </c>
      <c r="B336" s="6" t="s">
        <v>1018</v>
      </c>
      <c r="C336" s="6" t="s">
        <v>1215</v>
      </c>
      <c r="D336" s="7">
        <v>2507</v>
      </c>
      <c r="E336" s="7" t="s">
        <v>528</v>
      </c>
      <c r="F336" s="7" t="s">
        <v>529</v>
      </c>
      <c r="G336" s="6" t="s">
        <v>1377</v>
      </c>
      <c r="H336" s="6" t="s">
        <v>171</v>
      </c>
      <c r="I336" s="6" t="s">
        <v>17</v>
      </c>
      <c r="J336" s="7">
        <v>2510</v>
      </c>
      <c r="K336" s="8">
        <v>3.5820000171661377</v>
      </c>
      <c r="L336" s="9">
        <v>0</v>
      </c>
      <c r="M336" s="6"/>
      <c r="N336" s="6" t="s">
        <v>448</v>
      </c>
      <c r="O336" s="6" t="s">
        <v>1379</v>
      </c>
    </row>
    <row r="337" spans="1:15">
      <c r="A337" s="5" t="s">
        <v>1377</v>
      </c>
      <c r="B337" s="5" t="s">
        <v>941</v>
      </c>
      <c r="C337" s="5" t="s">
        <v>45</v>
      </c>
      <c r="D337" s="10">
        <v>2510</v>
      </c>
      <c r="E337" s="35" t="s">
        <v>528</v>
      </c>
      <c r="F337" s="35" t="s">
        <v>529</v>
      </c>
      <c r="G337" s="5" t="s">
        <v>1377</v>
      </c>
      <c r="H337" s="5" t="s">
        <v>1380</v>
      </c>
      <c r="I337" s="5" t="s">
        <v>1381</v>
      </c>
      <c r="J337" s="10">
        <v>2521</v>
      </c>
      <c r="K337" s="11">
        <v>10.668000221252441</v>
      </c>
      <c r="L337" s="12">
        <v>0</v>
      </c>
      <c r="M337" s="5"/>
      <c r="N337" s="5" t="s">
        <v>1382</v>
      </c>
      <c r="O337" s="5" t="s">
        <v>1383</v>
      </c>
    </row>
    <row r="338" spans="1:15">
      <c r="A338" s="6" t="s">
        <v>1377</v>
      </c>
      <c r="B338" s="6" t="s">
        <v>479</v>
      </c>
      <c r="C338" s="6" t="s">
        <v>1384</v>
      </c>
      <c r="D338" s="7">
        <v>2521</v>
      </c>
      <c r="E338" s="7" t="s">
        <v>528</v>
      </c>
      <c r="F338" s="7" t="s">
        <v>529</v>
      </c>
      <c r="G338" s="6" t="s">
        <v>1377</v>
      </c>
      <c r="H338" s="6" t="s">
        <v>374</v>
      </c>
      <c r="I338" s="6" t="s">
        <v>45</v>
      </c>
      <c r="J338" s="7">
        <v>2531</v>
      </c>
      <c r="K338" s="8">
        <v>10.211999893188477</v>
      </c>
      <c r="L338" s="9">
        <v>0</v>
      </c>
      <c r="M338" s="6"/>
      <c r="N338" s="6" t="s">
        <v>1385</v>
      </c>
      <c r="O338" s="6" t="s">
        <v>1386</v>
      </c>
    </row>
    <row r="339" spans="1:15">
      <c r="A339" s="5" t="s">
        <v>1377</v>
      </c>
      <c r="B339" s="5" t="s">
        <v>214</v>
      </c>
      <c r="C339" s="5" t="s">
        <v>45</v>
      </c>
      <c r="D339" s="10">
        <v>2531</v>
      </c>
      <c r="E339" s="35" t="s">
        <v>528</v>
      </c>
      <c r="F339" s="35" t="s">
        <v>529</v>
      </c>
      <c r="G339" s="5" t="s">
        <v>1377</v>
      </c>
      <c r="H339" s="5" t="s">
        <v>92</v>
      </c>
      <c r="I339" s="5" t="s">
        <v>160</v>
      </c>
      <c r="J339" s="10">
        <v>2533</v>
      </c>
      <c r="K339" s="11">
        <v>2.0239999294281006</v>
      </c>
      <c r="L339" s="12">
        <v>0</v>
      </c>
      <c r="M339" s="5"/>
      <c r="N339" s="5" t="s">
        <v>1387</v>
      </c>
      <c r="O339" s="5" t="s">
        <v>1388</v>
      </c>
    </row>
    <row r="340" spans="1:15">
      <c r="A340" s="6" t="s">
        <v>1377</v>
      </c>
      <c r="B340" s="6" t="s">
        <v>1116</v>
      </c>
      <c r="C340" s="6" t="s">
        <v>160</v>
      </c>
      <c r="D340" s="7">
        <v>2533</v>
      </c>
      <c r="E340" s="7" t="s">
        <v>528</v>
      </c>
      <c r="F340" s="7" t="s">
        <v>529</v>
      </c>
      <c r="G340" s="6" t="s">
        <v>1377</v>
      </c>
      <c r="H340" s="6" t="s">
        <v>221</v>
      </c>
      <c r="I340" s="6" t="s">
        <v>45</v>
      </c>
      <c r="J340" s="7">
        <v>2535</v>
      </c>
      <c r="K340" s="8">
        <v>2.0220000743865967</v>
      </c>
      <c r="L340" s="9">
        <v>0</v>
      </c>
      <c r="M340" s="6"/>
      <c r="N340" s="6" t="s">
        <v>1389</v>
      </c>
      <c r="O340" s="6" t="s">
        <v>1390</v>
      </c>
    </row>
    <row r="341" spans="1:15">
      <c r="A341" s="5" t="s">
        <v>1391</v>
      </c>
      <c r="B341" s="5" t="s">
        <v>367</v>
      </c>
      <c r="C341" s="5" t="s">
        <v>45</v>
      </c>
      <c r="D341" s="10">
        <v>2535</v>
      </c>
      <c r="E341" s="35" t="s">
        <v>528</v>
      </c>
      <c r="F341" s="35" t="s">
        <v>529</v>
      </c>
      <c r="G341" s="5" t="s">
        <v>1391</v>
      </c>
      <c r="H341" s="5" t="s">
        <v>1083</v>
      </c>
      <c r="I341" s="5" t="s">
        <v>1215</v>
      </c>
      <c r="J341" s="10">
        <v>2539</v>
      </c>
      <c r="K341" s="11">
        <v>3.4869999885559082</v>
      </c>
      <c r="L341" s="12">
        <v>0</v>
      </c>
      <c r="M341" s="5"/>
      <c r="N341" s="5" t="s">
        <v>1392</v>
      </c>
      <c r="O341" s="5" t="s">
        <v>1393</v>
      </c>
    </row>
    <row r="342" spans="1:15">
      <c r="A342" s="6" t="s">
        <v>1391</v>
      </c>
      <c r="B342" s="6" t="s">
        <v>1394</v>
      </c>
      <c r="C342" s="6" t="s">
        <v>1215</v>
      </c>
      <c r="D342" s="7">
        <v>2539</v>
      </c>
      <c r="E342" s="7" t="s">
        <v>528</v>
      </c>
      <c r="F342" s="7" t="s">
        <v>529</v>
      </c>
      <c r="G342" s="6" t="s">
        <v>1391</v>
      </c>
      <c r="H342" s="6" t="s">
        <v>332</v>
      </c>
      <c r="I342" s="6" t="s">
        <v>160</v>
      </c>
      <c r="J342" s="7">
        <v>2541</v>
      </c>
      <c r="K342" s="8">
        <v>2.5179998874664307</v>
      </c>
      <c r="L342" s="9">
        <v>0</v>
      </c>
      <c r="M342" s="6"/>
      <c r="N342" s="6" t="s">
        <v>411</v>
      </c>
      <c r="O342" s="6" t="s">
        <v>747</v>
      </c>
    </row>
    <row r="343" spans="1:15">
      <c r="A343" s="5" t="s">
        <v>1391</v>
      </c>
      <c r="B343" s="5" t="s">
        <v>22</v>
      </c>
      <c r="C343" s="5" t="s">
        <v>160</v>
      </c>
      <c r="D343" s="10">
        <v>2541</v>
      </c>
      <c r="E343" s="35" t="s">
        <v>528</v>
      </c>
      <c r="F343" s="35" t="s">
        <v>529</v>
      </c>
      <c r="G343" s="5" t="s">
        <v>1391</v>
      </c>
      <c r="H343" s="5" t="s">
        <v>306</v>
      </c>
      <c r="I343" s="5" t="s">
        <v>1101</v>
      </c>
      <c r="J343" s="10">
        <v>2542</v>
      </c>
      <c r="K343" s="11">
        <v>1.0360000133514404</v>
      </c>
      <c r="L343" s="12">
        <v>0</v>
      </c>
      <c r="M343" s="5"/>
      <c r="N343" s="5" t="s">
        <v>741</v>
      </c>
      <c r="O343" s="5" t="s">
        <v>1395</v>
      </c>
    </row>
    <row r="344" spans="1:15">
      <c r="A344" s="6" t="s">
        <v>1391</v>
      </c>
      <c r="B344" s="6" t="s">
        <v>54</v>
      </c>
      <c r="C344" s="6" t="s">
        <v>1101</v>
      </c>
      <c r="D344" s="7">
        <v>2542</v>
      </c>
      <c r="E344" s="7" t="s">
        <v>528</v>
      </c>
      <c r="F344" s="7" t="s">
        <v>529</v>
      </c>
      <c r="G344" s="6" t="s">
        <v>1391</v>
      </c>
      <c r="H344" s="6" t="s">
        <v>471</v>
      </c>
      <c r="I344" s="6" t="s">
        <v>17</v>
      </c>
      <c r="J344" s="7">
        <v>2543</v>
      </c>
      <c r="K344" s="8">
        <v>1.1790000200271606</v>
      </c>
      <c r="L344" s="9">
        <v>0</v>
      </c>
      <c r="M344" s="6"/>
      <c r="N344" s="6" t="s">
        <v>1396</v>
      </c>
      <c r="O344" s="6" t="s">
        <v>1397</v>
      </c>
    </row>
    <row r="345" spans="1:15">
      <c r="A345" s="5" t="s">
        <v>1398</v>
      </c>
      <c r="B345" s="5" t="s">
        <v>42</v>
      </c>
      <c r="C345" s="5" t="s">
        <v>17</v>
      </c>
      <c r="D345" s="10">
        <v>2543</v>
      </c>
      <c r="E345" s="35" t="s">
        <v>528</v>
      </c>
      <c r="F345" s="35" t="s">
        <v>529</v>
      </c>
      <c r="G345" s="5" t="s">
        <v>1398</v>
      </c>
      <c r="H345" s="5" t="s">
        <v>44</v>
      </c>
      <c r="I345" s="5" t="s">
        <v>1399</v>
      </c>
      <c r="J345" s="10">
        <v>2553</v>
      </c>
      <c r="K345" s="11">
        <v>9.258000373840332</v>
      </c>
      <c r="L345" s="12">
        <v>0</v>
      </c>
      <c r="M345" s="5"/>
      <c r="N345" s="5" t="s">
        <v>1224</v>
      </c>
      <c r="O345" s="5" t="s">
        <v>812</v>
      </c>
    </row>
    <row r="346" spans="1:15">
      <c r="A346" s="6" t="s">
        <v>1398</v>
      </c>
      <c r="B346" s="6" t="s">
        <v>229</v>
      </c>
      <c r="C346" s="6" t="s">
        <v>1399</v>
      </c>
      <c r="D346" s="7">
        <v>2553</v>
      </c>
      <c r="E346" s="7" t="s">
        <v>528</v>
      </c>
      <c r="F346" s="7" t="s">
        <v>529</v>
      </c>
      <c r="G346" s="6" t="s">
        <v>1398</v>
      </c>
      <c r="H346" s="6" t="s">
        <v>231</v>
      </c>
      <c r="I346" s="6" t="s">
        <v>1400</v>
      </c>
      <c r="J346" s="7">
        <v>2555</v>
      </c>
      <c r="K346" s="8">
        <v>2.2309999465942383</v>
      </c>
      <c r="L346" s="9">
        <v>0</v>
      </c>
      <c r="M346" s="6"/>
      <c r="N346" s="6" t="s">
        <v>1067</v>
      </c>
      <c r="O346" s="6" t="s">
        <v>1401</v>
      </c>
    </row>
    <row r="347" spans="1:15">
      <c r="A347" s="5" t="s">
        <v>1398</v>
      </c>
      <c r="B347" s="5" t="s">
        <v>961</v>
      </c>
      <c r="C347" s="5" t="s">
        <v>1400</v>
      </c>
      <c r="D347" s="10">
        <v>2555</v>
      </c>
      <c r="E347" s="35" t="s">
        <v>528</v>
      </c>
      <c r="F347" s="35" t="s">
        <v>529</v>
      </c>
      <c r="G347" s="5" t="s">
        <v>1398</v>
      </c>
      <c r="H347" s="5" t="s">
        <v>453</v>
      </c>
      <c r="I347" s="5" t="s">
        <v>17</v>
      </c>
      <c r="J347" s="10">
        <v>2562</v>
      </c>
      <c r="K347" s="11">
        <v>6.7470002174377441</v>
      </c>
      <c r="L347" s="12">
        <v>0</v>
      </c>
      <c r="M347" s="5"/>
      <c r="N347" s="5" t="s">
        <v>1079</v>
      </c>
      <c r="O347" s="5" t="s">
        <v>1402</v>
      </c>
    </row>
    <row r="348" spans="1:15">
      <c r="A348" s="6" t="s">
        <v>1398</v>
      </c>
      <c r="B348" s="6" t="s">
        <v>159</v>
      </c>
      <c r="C348" s="6" t="s">
        <v>17</v>
      </c>
      <c r="D348" s="7">
        <v>2562</v>
      </c>
      <c r="E348" s="7" t="s">
        <v>528</v>
      </c>
      <c r="F348" s="7" t="s">
        <v>529</v>
      </c>
      <c r="G348" s="6" t="s">
        <v>1398</v>
      </c>
      <c r="H348" s="6" t="s">
        <v>1403</v>
      </c>
      <c r="I348" s="6" t="s">
        <v>1404</v>
      </c>
      <c r="J348" s="7">
        <v>2577</v>
      </c>
      <c r="K348" s="8">
        <v>15.402000427246094</v>
      </c>
      <c r="L348" s="9">
        <v>0</v>
      </c>
      <c r="M348" s="6"/>
      <c r="N348" s="6" t="s">
        <v>1405</v>
      </c>
      <c r="O348" s="6" t="s">
        <v>981</v>
      </c>
    </row>
    <row r="349" spans="1:15">
      <c r="A349" s="5" t="s">
        <v>1398</v>
      </c>
      <c r="B349" s="5" t="s">
        <v>164</v>
      </c>
      <c r="C349" s="5" t="s">
        <v>1404</v>
      </c>
      <c r="D349" s="10">
        <v>2577</v>
      </c>
      <c r="E349" s="35" t="s">
        <v>528</v>
      </c>
      <c r="F349" s="35" t="s">
        <v>529</v>
      </c>
      <c r="G349" s="5" t="s">
        <v>1398</v>
      </c>
      <c r="H349" s="5" t="s">
        <v>577</v>
      </c>
      <c r="I349" s="5" t="s">
        <v>45</v>
      </c>
      <c r="J349" s="10">
        <v>2592</v>
      </c>
      <c r="K349" s="11">
        <v>15.475000381469727</v>
      </c>
      <c r="L349" s="12">
        <v>0</v>
      </c>
      <c r="M349" s="5"/>
      <c r="N349" s="5" t="s">
        <v>1406</v>
      </c>
      <c r="O349" s="5" t="s">
        <v>1407</v>
      </c>
    </row>
    <row r="350" spans="1:15">
      <c r="A350" s="6" t="s">
        <v>1408</v>
      </c>
      <c r="B350" s="6" t="s">
        <v>833</v>
      </c>
      <c r="C350" s="6" t="s">
        <v>45</v>
      </c>
      <c r="D350" s="7">
        <v>2592</v>
      </c>
      <c r="E350" s="7" t="s">
        <v>528</v>
      </c>
      <c r="F350" s="7" t="s">
        <v>529</v>
      </c>
      <c r="G350" s="6" t="s">
        <v>1408</v>
      </c>
      <c r="H350" s="6" t="s">
        <v>961</v>
      </c>
      <c r="I350" s="6" t="s">
        <v>1409</v>
      </c>
      <c r="J350" s="7">
        <v>2599</v>
      </c>
      <c r="K350" s="8">
        <v>6.315000057220459</v>
      </c>
      <c r="L350" s="9">
        <v>0</v>
      </c>
      <c r="M350" s="6"/>
      <c r="N350" s="6" t="s">
        <v>583</v>
      </c>
      <c r="O350" s="6" t="s">
        <v>1410</v>
      </c>
    </row>
    <row r="351" spans="1:15">
      <c r="A351" s="5" t="s">
        <v>1408</v>
      </c>
      <c r="B351" s="5" t="s">
        <v>104</v>
      </c>
      <c r="C351" s="5" t="s">
        <v>1409</v>
      </c>
      <c r="D351" s="10">
        <v>2599</v>
      </c>
      <c r="E351" s="35" t="s">
        <v>528</v>
      </c>
      <c r="F351" s="35" t="s">
        <v>529</v>
      </c>
      <c r="G351" s="5" t="s">
        <v>1408</v>
      </c>
      <c r="H351" s="5" t="s">
        <v>260</v>
      </c>
      <c r="I351" s="5" t="s">
        <v>1292</v>
      </c>
      <c r="J351" s="10">
        <v>2603</v>
      </c>
      <c r="K351" s="11">
        <v>4.0110001564025879</v>
      </c>
      <c r="L351" s="12">
        <v>0</v>
      </c>
      <c r="M351" s="5"/>
      <c r="N351" s="5" t="s">
        <v>1411</v>
      </c>
      <c r="O351" s="5" t="s">
        <v>1196</v>
      </c>
    </row>
    <row r="352" spans="1:15">
      <c r="A352" s="6" t="s">
        <v>1408</v>
      </c>
      <c r="B352" s="6" t="s">
        <v>171</v>
      </c>
      <c r="C352" s="6" t="s">
        <v>1292</v>
      </c>
      <c r="D352" s="7">
        <v>2603</v>
      </c>
      <c r="E352" s="7" t="s">
        <v>528</v>
      </c>
      <c r="F352" s="7" t="s">
        <v>529</v>
      </c>
      <c r="G352" s="6" t="s">
        <v>1408</v>
      </c>
      <c r="H352" s="6" t="s">
        <v>72</v>
      </c>
      <c r="I352" s="6" t="s">
        <v>45</v>
      </c>
      <c r="J352" s="7">
        <v>2606</v>
      </c>
      <c r="K352" s="8">
        <v>3.1840000152587891</v>
      </c>
      <c r="L352" s="9">
        <v>0</v>
      </c>
      <c r="M352" s="6"/>
      <c r="N352" s="6" t="s">
        <v>1412</v>
      </c>
      <c r="O352" s="6" t="s">
        <v>1413</v>
      </c>
    </row>
    <row r="353" spans="1:15">
      <c r="A353" s="5" t="s">
        <v>1408</v>
      </c>
      <c r="B353" s="5" t="s">
        <v>186</v>
      </c>
      <c r="C353" s="5" t="s">
        <v>45</v>
      </c>
      <c r="D353" s="10">
        <v>2606</v>
      </c>
      <c r="E353" s="35" t="s">
        <v>528</v>
      </c>
      <c r="F353" s="35" t="s">
        <v>529</v>
      </c>
      <c r="G353" s="5" t="s">
        <v>1408</v>
      </c>
      <c r="H353" s="5" t="s">
        <v>222</v>
      </c>
      <c r="I353" s="5" t="s">
        <v>45</v>
      </c>
      <c r="J353" s="10">
        <v>2618</v>
      </c>
      <c r="K353" s="11">
        <v>12.375</v>
      </c>
      <c r="L353" s="12">
        <v>0</v>
      </c>
      <c r="M353" s="5"/>
      <c r="N353" s="5" t="s">
        <v>1414</v>
      </c>
      <c r="O353" s="5" t="s">
        <v>1415</v>
      </c>
    </row>
    <row r="354" spans="1:15">
      <c r="A354" s="6" t="s">
        <v>1408</v>
      </c>
      <c r="B354" s="6" t="s">
        <v>541</v>
      </c>
      <c r="C354" s="6" t="s">
        <v>45</v>
      </c>
      <c r="D354" s="7">
        <v>2618</v>
      </c>
      <c r="E354" s="7" t="s">
        <v>528</v>
      </c>
      <c r="F354" s="7" t="s">
        <v>529</v>
      </c>
      <c r="G354" s="6" t="s">
        <v>1408</v>
      </c>
      <c r="H354" s="6" t="s">
        <v>139</v>
      </c>
      <c r="I354" s="6" t="s">
        <v>1404</v>
      </c>
      <c r="J354" s="7">
        <v>2634</v>
      </c>
      <c r="K354" s="8">
        <v>15.460000038146973</v>
      </c>
      <c r="L354" s="9">
        <v>0</v>
      </c>
      <c r="M354" s="6"/>
      <c r="N354" s="6" t="s">
        <v>1416</v>
      </c>
      <c r="O354" s="6" t="s">
        <v>1131</v>
      </c>
    </row>
    <row r="355" spans="1:15">
      <c r="A355" s="5" t="s">
        <v>1408</v>
      </c>
      <c r="B355" s="5" t="s">
        <v>407</v>
      </c>
      <c r="C355" s="5" t="s">
        <v>1404</v>
      </c>
      <c r="D355" s="10">
        <v>2634</v>
      </c>
      <c r="E355" s="35" t="s">
        <v>528</v>
      </c>
      <c r="F355" s="35" t="s">
        <v>529</v>
      </c>
      <c r="G355" s="5" t="s">
        <v>1408</v>
      </c>
      <c r="H355" s="5" t="s">
        <v>1272</v>
      </c>
      <c r="I355" s="5" t="s">
        <v>17</v>
      </c>
      <c r="J355" s="10">
        <v>2649</v>
      </c>
      <c r="K355" s="11">
        <v>15.406000137329102</v>
      </c>
      <c r="L355" s="12">
        <v>0</v>
      </c>
      <c r="M355" s="5"/>
      <c r="N355" s="5" t="s">
        <v>1417</v>
      </c>
      <c r="O355" s="5" t="s">
        <v>1418</v>
      </c>
    </row>
    <row r="356" spans="1:15">
      <c r="A356" s="6" t="s">
        <v>1408</v>
      </c>
      <c r="B356" s="6" t="s">
        <v>1419</v>
      </c>
      <c r="C356" s="6" t="s">
        <v>17</v>
      </c>
      <c r="D356" s="7">
        <v>2649</v>
      </c>
      <c r="E356" s="7" t="s">
        <v>528</v>
      </c>
      <c r="F356" s="7" t="s">
        <v>529</v>
      </c>
      <c r="G356" s="6" t="s">
        <v>1408</v>
      </c>
      <c r="H356" s="6" t="s">
        <v>1420</v>
      </c>
      <c r="I356" s="6" t="s">
        <v>17</v>
      </c>
      <c r="J356" s="7">
        <v>2661</v>
      </c>
      <c r="K356" s="8">
        <v>11.560999870300293</v>
      </c>
      <c r="L356" s="9">
        <v>0</v>
      </c>
      <c r="M356" s="6"/>
      <c r="N356" s="6" t="s">
        <v>1421</v>
      </c>
      <c r="O356" s="6" t="s">
        <v>1422</v>
      </c>
    </row>
    <row r="357" spans="1:15">
      <c r="A357" s="5" t="s">
        <v>1423</v>
      </c>
      <c r="B357" s="5" t="s">
        <v>351</v>
      </c>
      <c r="C357" s="5" t="s">
        <v>17</v>
      </c>
      <c r="D357" s="10">
        <v>2661</v>
      </c>
      <c r="E357" s="35" t="s">
        <v>528</v>
      </c>
      <c r="F357" s="35" t="s">
        <v>529</v>
      </c>
      <c r="G357" s="5" t="s">
        <v>1423</v>
      </c>
      <c r="H357" s="5" t="s">
        <v>537</v>
      </c>
      <c r="I357" s="5" t="s">
        <v>548</v>
      </c>
      <c r="J357" s="10">
        <v>2667</v>
      </c>
      <c r="K357" s="11">
        <v>5.7290000915527344</v>
      </c>
      <c r="L357" s="12">
        <v>0</v>
      </c>
      <c r="M357" s="5"/>
      <c r="N357" s="5" t="s">
        <v>1424</v>
      </c>
      <c r="O357" s="5" t="s">
        <v>1425</v>
      </c>
    </row>
    <row r="358" spans="1:15">
      <c r="A358" s="6" t="s">
        <v>1423</v>
      </c>
      <c r="B358" s="6" t="s">
        <v>1426</v>
      </c>
      <c r="C358" s="6" t="s">
        <v>548</v>
      </c>
      <c r="D358" s="7">
        <v>2667</v>
      </c>
      <c r="E358" s="7" t="s">
        <v>528</v>
      </c>
      <c r="F358" s="7" t="s">
        <v>529</v>
      </c>
      <c r="G358" s="6" t="s">
        <v>1423</v>
      </c>
      <c r="H358" s="6" t="s">
        <v>1427</v>
      </c>
      <c r="I358" s="6" t="s">
        <v>45</v>
      </c>
      <c r="J358" s="7">
        <v>2672</v>
      </c>
      <c r="K358" s="8">
        <v>5.6079998016357422</v>
      </c>
      <c r="L358" s="9">
        <v>0</v>
      </c>
      <c r="M358" s="6"/>
      <c r="N358" s="6" t="s">
        <v>391</v>
      </c>
      <c r="O358" s="6" t="s">
        <v>1428</v>
      </c>
    </row>
    <row r="359" spans="1:15">
      <c r="A359" s="5" t="s">
        <v>1429</v>
      </c>
      <c r="B359" s="5" t="s">
        <v>204</v>
      </c>
      <c r="C359" s="5" t="s">
        <v>45</v>
      </c>
      <c r="D359" s="10">
        <v>2672</v>
      </c>
      <c r="E359" s="35" t="s">
        <v>528</v>
      </c>
      <c r="F359" s="35" t="s">
        <v>529</v>
      </c>
      <c r="G359" s="5" t="s">
        <v>1429</v>
      </c>
      <c r="H359" s="5" t="s">
        <v>718</v>
      </c>
      <c r="I359" s="5" t="s">
        <v>1404</v>
      </c>
      <c r="J359" s="10">
        <v>2687</v>
      </c>
      <c r="K359" s="11">
        <v>15.322999954223633</v>
      </c>
      <c r="L359" s="12">
        <v>0</v>
      </c>
      <c r="M359" s="5"/>
      <c r="N359" s="5" t="s">
        <v>873</v>
      </c>
      <c r="O359" s="5" t="s">
        <v>1430</v>
      </c>
    </row>
    <row r="360" spans="1:15">
      <c r="A360" s="6" t="s">
        <v>1429</v>
      </c>
      <c r="B360" s="6" t="s">
        <v>235</v>
      </c>
      <c r="C360" s="6" t="s">
        <v>1404</v>
      </c>
      <c r="D360" s="7">
        <v>2687</v>
      </c>
      <c r="E360" s="7" t="s">
        <v>528</v>
      </c>
      <c r="F360" s="7" t="s">
        <v>529</v>
      </c>
      <c r="G360" s="6" t="s">
        <v>1429</v>
      </c>
      <c r="H360" s="6" t="s">
        <v>1431</v>
      </c>
      <c r="I360" s="6" t="s">
        <v>1432</v>
      </c>
      <c r="J360" s="7">
        <v>2697</v>
      </c>
      <c r="K360" s="8">
        <v>9.5500001907348633</v>
      </c>
      <c r="L360" s="9">
        <v>0</v>
      </c>
      <c r="M360" s="6"/>
      <c r="N360" s="6" t="s">
        <v>1318</v>
      </c>
      <c r="O360" s="6" t="s">
        <v>1424</v>
      </c>
    </row>
    <row r="361" spans="1:15">
      <c r="A361" s="5" t="s">
        <v>1429</v>
      </c>
      <c r="B361" s="5" t="s">
        <v>702</v>
      </c>
      <c r="C361" s="5" t="s">
        <v>1432</v>
      </c>
      <c r="D361" s="10">
        <v>2697</v>
      </c>
      <c r="E361" s="35" t="s">
        <v>528</v>
      </c>
      <c r="F361" s="35" t="s">
        <v>529</v>
      </c>
      <c r="G361" s="5" t="s">
        <v>1429</v>
      </c>
      <c r="H361" s="5" t="s">
        <v>746</v>
      </c>
      <c r="I361" s="5" t="s">
        <v>45</v>
      </c>
      <c r="J361" s="10">
        <v>2707</v>
      </c>
      <c r="K361" s="11">
        <v>10.069000244140625</v>
      </c>
      <c r="L361" s="12">
        <v>0</v>
      </c>
      <c r="M361" s="5"/>
      <c r="N361" s="5" t="s">
        <v>1433</v>
      </c>
      <c r="O361" s="5" t="s">
        <v>1434</v>
      </c>
    </row>
    <row r="362" spans="1:15">
      <c r="A362" s="6" t="s">
        <v>1429</v>
      </c>
      <c r="B362" s="6" t="s">
        <v>88</v>
      </c>
      <c r="C362" s="6" t="s">
        <v>45</v>
      </c>
      <c r="D362" s="7">
        <v>2707</v>
      </c>
      <c r="E362" s="7" t="s">
        <v>528</v>
      </c>
      <c r="F362" s="7" t="s">
        <v>529</v>
      </c>
      <c r="G362" s="6" t="s">
        <v>1429</v>
      </c>
      <c r="H362" s="6" t="s">
        <v>89</v>
      </c>
      <c r="I362" s="6" t="s">
        <v>419</v>
      </c>
      <c r="J362" s="7">
        <v>2712</v>
      </c>
      <c r="K362" s="8">
        <v>5.3470001220703125</v>
      </c>
      <c r="L362" s="9">
        <v>0</v>
      </c>
      <c r="M362" s="6"/>
      <c r="N362" s="6" t="s">
        <v>607</v>
      </c>
      <c r="O362" s="6" t="s">
        <v>708</v>
      </c>
    </row>
    <row r="363" spans="1:15">
      <c r="A363" s="5" t="s">
        <v>1429</v>
      </c>
      <c r="B363" s="5" t="s">
        <v>93</v>
      </c>
      <c r="C363" s="5" t="s">
        <v>419</v>
      </c>
      <c r="D363" s="10">
        <v>2712</v>
      </c>
      <c r="E363" s="35" t="s">
        <v>528</v>
      </c>
      <c r="F363" s="35" t="s">
        <v>529</v>
      </c>
      <c r="G363" s="5" t="s">
        <v>1429</v>
      </c>
      <c r="H363" s="5" t="s">
        <v>879</v>
      </c>
      <c r="I363" s="5" t="s">
        <v>386</v>
      </c>
      <c r="J363" s="10">
        <v>2717</v>
      </c>
      <c r="K363" s="11">
        <v>4.9310002326965332</v>
      </c>
      <c r="L363" s="12">
        <v>0</v>
      </c>
      <c r="M363" s="5"/>
      <c r="N363" s="5" t="s">
        <v>421</v>
      </c>
      <c r="O363" s="5" t="s">
        <v>1383</v>
      </c>
    </row>
    <row r="364" spans="1:15">
      <c r="A364" s="6" t="s">
        <v>1429</v>
      </c>
      <c r="B364" s="6" t="s">
        <v>97</v>
      </c>
      <c r="C364" s="6" t="s">
        <v>386</v>
      </c>
      <c r="D364" s="7">
        <v>2717</v>
      </c>
      <c r="E364" s="7" t="s">
        <v>528</v>
      </c>
      <c r="F364" s="7" t="s">
        <v>529</v>
      </c>
      <c r="G364" s="6" t="s">
        <v>1429</v>
      </c>
      <c r="H364" s="6" t="s">
        <v>164</v>
      </c>
      <c r="I364" s="6" t="s">
        <v>45</v>
      </c>
      <c r="J364" s="7">
        <v>2718</v>
      </c>
      <c r="K364" s="8">
        <v>0.25900000333786011</v>
      </c>
      <c r="L364" s="9">
        <v>0</v>
      </c>
      <c r="M364" s="6"/>
      <c r="N364" s="6" t="s">
        <v>91</v>
      </c>
      <c r="O364" s="6" t="s">
        <v>1435</v>
      </c>
    </row>
    <row r="365" spans="1:15">
      <c r="A365" s="5" t="s">
        <v>1436</v>
      </c>
      <c r="B365" s="5" t="s">
        <v>561</v>
      </c>
      <c r="C365" s="5" t="s">
        <v>45</v>
      </c>
      <c r="D365" s="10">
        <v>2718</v>
      </c>
      <c r="E365" s="35" t="s">
        <v>528</v>
      </c>
      <c r="F365" s="35" t="s">
        <v>529</v>
      </c>
      <c r="G365" s="5" t="s">
        <v>1436</v>
      </c>
      <c r="H365" s="5" t="s">
        <v>1437</v>
      </c>
      <c r="I365" s="5" t="s">
        <v>140</v>
      </c>
      <c r="J365" s="10">
        <v>2720</v>
      </c>
      <c r="K365" s="11">
        <v>2.6080000400543213</v>
      </c>
      <c r="L365" s="12">
        <v>0</v>
      </c>
      <c r="M365" s="5"/>
      <c r="N365" s="5" t="s">
        <v>658</v>
      </c>
      <c r="O365" s="5" t="s">
        <v>1438</v>
      </c>
    </row>
    <row r="366" spans="1:15">
      <c r="A366" s="6" t="s">
        <v>1436</v>
      </c>
      <c r="B366" s="6" t="s">
        <v>1439</v>
      </c>
      <c r="C366" s="6" t="s">
        <v>140</v>
      </c>
      <c r="D366" s="7">
        <v>2720</v>
      </c>
      <c r="E366" s="7" t="s">
        <v>528</v>
      </c>
      <c r="F366" s="7" t="s">
        <v>529</v>
      </c>
      <c r="G366" s="6" t="s">
        <v>1436</v>
      </c>
      <c r="H366" s="6" t="s">
        <v>1155</v>
      </c>
      <c r="I366" s="6" t="s">
        <v>1440</v>
      </c>
      <c r="J366" s="7">
        <v>2722</v>
      </c>
      <c r="K366" s="8">
        <v>1.9440000057220459</v>
      </c>
      <c r="L366" s="9">
        <v>0</v>
      </c>
      <c r="M366" s="6"/>
      <c r="N366" s="6" t="s">
        <v>1396</v>
      </c>
      <c r="O366" s="6" t="s">
        <v>1441</v>
      </c>
    </row>
    <row r="367" spans="1:15">
      <c r="A367" s="5" t="s">
        <v>1436</v>
      </c>
      <c r="B367" s="5" t="s">
        <v>1442</v>
      </c>
      <c r="C367" s="5" t="s">
        <v>1440</v>
      </c>
      <c r="D367" s="10">
        <v>2722</v>
      </c>
      <c r="E367" s="35" t="s">
        <v>528</v>
      </c>
      <c r="F367" s="35" t="s">
        <v>529</v>
      </c>
      <c r="G367" s="5" t="s">
        <v>1436</v>
      </c>
      <c r="H367" s="5" t="s">
        <v>1443</v>
      </c>
      <c r="I367" s="5" t="s">
        <v>17</v>
      </c>
      <c r="J367" s="10">
        <v>2723</v>
      </c>
      <c r="K367" s="11">
        <v>1.2170000076293945</v>
      </c>
      <c r="L367" s="12">
        <v>0</v>
      </c>
      <c r="M367" s="5"/>
      <c r="N367" s="5" t="s">
        <v>1444</v>
      </c>
      <c r="O367" s="5" t="s">
        <v>1445</v>
      </c>
    </row>
    <row r="368" spans="1:15">
      <c r="A368" s="6" t="s">
        <v>1446</v>
      </c>
      <c r="B368" s="6" t="s">
        <v>268</v>
      </c>
      <c r="C368" s="6" t="s">
        <v>17</v>
      </c>
      <c r="D368" s="7">
        <v>2723</v>
      </c>
      <c r="E368" s="7" t="s">
        <v>528</v>
      </c>
      <c r="F368" s="7" t="s">
        <v>529</v>
      </c>
      <c r="G368" s="6" t="s">
        <v>1446</v>
      </c>
      <c r="H368" s="6" t="s">
        <v>261</v>
      </c>
      <c r="I368" s="6" t="s">
        <v>160</v>
      </c>
      <c r="J368" s="7">
        <v>2725</v>
      </c>
      <c r="K368" s="8">
        <v>1.7760000228881836</v>
      </c>
      <c r="L368" s="9">
        <v>0</v>
      </c>
      <c r="M368" s="6"/>
      <c r="N368" s="6" t="s">
        <v>498</v>
      </c>
      <c r="O368" s="6" t="s">
        <v>1447</v>
      </c>
    </row>
    <row r="369" spans="1:15">
      <c r="A369" s="5" t="s">
        <v>1446</v>
      </c>
      <c r="B369" s="5" t="s">
        <v>119</v>
      </c>
      <c r="C369" s="5" t="s">
        <v>160</v>
      </c>
      <c r="D369" s="10">
        <v>2725</v>
      </c>
      <c r="E369" s="35" t="s">
        <v>528</v>
      </c>
      <c r="F369" s="35" t="s">
        <v>529</v>
      </c>
      <c r="G369" s="5" t="s">
        <v>1446</v>
      </c>
      <c r="H369" s="5" t="s">
        <v>344</v>
      </c>
      <c r="I369" s="5" t="s">
        <v>1215</v>
      </c>
      <c r="J369" s="10">
        <v>2728</v>
      </c>
      <c r="K369" s="11">
        <v>2.559999942779541</v>
      </c>
      <c r="L369" s="12">
        <v>0</v>
      </c>
      <c r="M369" s="5"/>
      <c r="N369" s="5" t="s">
        <v>1448</v>
      </c>
      <c r="O369" s="5" t="s">
        <v>1449</v>
      </c>
    </row>
    <row r="370" spans="1:15">
      <c r="A370" s="6" t="s">
        <v>1446</v>
      </c>
      <c r="B370" s="6" t="s">
        <v>79</v>
      </c>
      <c r="C370" s="6" t="s">
        <v>1215</v>
      </c>
      <c r="D370" s="7">
        <v>2728</v>
      </c>
      <c r="E370" s="7" t="s">
        <v>528</v>
      </c>
      <c r="F370" s="7" t="s">
        <v>529</v>
      </c>
      <c r="G370" s="6" t="s">
        <v>1446</v>
      </c>
      <c r="H370" s="6" t="s">
        <v>155</v>
      </c>
      <c r="I370" s="6" t="s">
        <v>50</v>
      </c>
      <c r="J370" s="7">
        <v>2734</v>
      </c>
      <c r="K370" s="8">
        <v>6.5</v>
      </c>
      <c r="L370" s="9">
        <v>0</v>
      </c>
      <c r="M370" s="6"/>
      <c r="N370" s="6" t="s">
        <v>477</v>
      </c>
      <c r="O370" s="6" t="s">
        <v>880</v>
      </c>
    </row>
    <row r="371" spans="1:15">
      <c r="A371" s="5" t="s">
        <v>1446</v>
      </c>
      <c r="B371" s="5" t="s">
        <v>180</v>
      </c>
      <c r="C371" s="5" t="s">
        <v>50</v>
      </c>
      <c r="D371" s="10">
        <v>2734</v>
      </c>
      <c r="E371" s="35" t="s">
        <v>528</v>
      </c>
      <c r="F371" s="35" t="s">
        <v>529</v>
      </c>
      <c r="G371" s="5" t="s">
        <v>1446</v>
      </c>
      <c r="H371" s="5" t="s">
        <v>122</v>
      </c>
      <c r="I371" s="5" t="s">
        <v>17</v>
      </c>
      <c r="J371" s="10">
        <v>2744</v>
      </c>
      <c r="K371" s="11">
        <v>9.3430004119873047</v>
      </c>
      <c r="L371" s="12">
        <v>0</v>
      </c>
      <c r="M371" s="5"/>
      <c r="N371" s="5" t="s">
        <v>1450</v>
      </c>
      <c r="O371" s="5" t="s">
        <v>1451</v>
      </c>
    </row>
    <row r="372" spans="1:15">
      <c r="A372" s="6" t="s">
        <v>1446</v>
      </c>
      <c r="B372" s="6" t="s">
        <v>163</v>
      </c>
      <c r="C372" s="6" t="s">
        <v>45</v>
      </c>
      <c r="D372" s="7">
        <v>2744</v>
      </c>
      <c r="E372" s="7" t="s">
        <v>528</v>
      </c>
      <c r="F372" s="7" t="s">
        <v>529</v>
      </c>
      <c r="G372" s="6" t="s">
        <v>1446</v>
      </c>
      <c r="H372" s="6" t="s">
        <v>630</v>
      </c>
      <c r="I372" s="6" t="s">
        <v>1289</v>
      </c>
      <c r="J372" s="7">
        <v>2754</v>
      </c>
      <c r="K372" s="8">
        <v>9.9350004196166992</v>
      </c>
      <c r="L372" s="9">
        <v>0</v>
      </c>
      <c r="M372" s="6"/>
      <c r="N372" s="6" t="s">
        <v>1452</v>
      </c>
      <c r="O372" s="6" t="s">
        <v>1453</v>
      </c>
    </row>
    <row r="373" spans="1:15">
      <c r="A373" s="5" t="s">
        <v>1446</v>
      </c>
      <c r="B373" s="5" t="s">
        <v>114</v>
      </c>
      <c r="C373" s="5" t="s">
        <v>1289</v>
      </c>
      <c r="D373" s="10">
        <v>2754</v>
      </c>
      <c r="E373" s="35" t="s">
        <v>528</v>
      </c>
      <c r="F373" s="35" t="s">
        <v>529</v>
      </c>
      <c r="G373" s="5" t="s">
        <v>1446</v>
      </c>
      <c r="H373" s="5" t="s">
        <v>533</v>
      </c>
      <c r="I373" s="5" t="s">
        <v>45</v>
      </c>
      <c r="J373" s="10">
        <v>2763</v>
      </c>
      <c r="K373" s="11">
        <v>9.8450002670288086</v>
      </c>
      <c r="L373" s="12">
        <v>0</v>
      </c>
      <c r="M373" s="5"/>
      <c r="N373" s="5" t="s">
        <v>66</v>
      </c>
      <c r="O373" s="5" t="s">
        <v>1454</v>
      </c>
    </row>
    <row r="374" spans="1:15">
      <c r="A374" s="6" t="s">
        <v>1455</v>
      </c>
      <c r="B374" s="6" t="s">
        <v>1456</v>
      </c>
      <c r="C374" s="6" t="s">
        <v>45</v>
      </c>
      <c r="D374" s="7">
        <v>2763</v>
      </c>
      <c r="E374" s="7" t="s">
        <v>528</v>
      </c>
      <c r="F374" s="7" t="s">
        <v>529</v>
      </c>
      <c r="G374" s="6" t="s">
        <v>1455</v>
      </c>
      <c r="H374" s="6" t="s">
        <v>711</v>
      </c>
      <c r="I374" s="6" t="s">
        <v>17</v>
      </c>
      <c r="J374" s="7">
        <v>2764</v>
      </c>
      <c r="K374" s="8">
        <v>0.25600001215934753</v>
      </c>
      <c r="L374" s="9">
        <v>0</v>
      </c>
      <c r="M374" s="6"/>
      <c r="N374" s="6" t="s">
        <v>1457</v>
      </c>
      <c r="O374" s="6" t="s">
        <v>1174</v>
      </c>
    </row>
    <row r="375" spans="1:15">
      <c r="A375" s="5" t="s">
        <v>1455</v>
      </c>
      <c r="B375" s="5" t="s">
        <v>992</v>
      </c>
      <c r="C375" s="5" t="s">
        <v>1361</v>
      </c>
      <c r="D375" s="10">
        <v>2764</v>
      </c>
      <c r="E375" s="35" t="s">
        <v>528</v>
      </c>
      <c r="F375" s="35" t="s">
        <v>529</v>
      </c>
      <c r="G375" s="5" t="s">
        <v>1455</v>
      </c>
      <c r="H375" s="5" t="s">
        <v>1458</v>
      </c>
      <c r="I375" s="5" t="s">
        <v>17</v>
      </c>
      <c r="J375" s="10">
        <v>2764</v>
      </c>
      <c r="K375" s="11">
        <v>0.29300001263618469</v>
      </c>
      <c r="L375" s="12">
        <v>0</v>
      </c>
      <c r="M375" s="5"/>
      <c r="N375" s="5" t="s">
        <v>125</v>
      </c>
      <c r="O375" s="5" t="s">
        <v>1459</v>
      </c>
    </row>
    <row r="376" spans="1:15">
      <c r="A376" s="6" t="s">
        <v>1455</v>
      </c>
      <c r="B376" s="6" t="s">
        <v>238</v>
      </c>
      <c r="C376" s="6" t="s">
        <v>45</v>
      </c>
      <c r="D376" s="7">
        <v>2764</v>
      </c>
      <c r="E376" s="7" t="s">
        <v>528</v>
      </c>
      <c r="F376" s="7" t="s">
        <v>529</v>
      </c>
      <c r="G376" s="6" t="s">
        <v>1455</v>
      </c>
      <c r="H376" s="6" t="s">
        <v>722</v>
      </c>
      <c r="I376" s="6" t="s">
        <v>247</v>
      </c>
      <c r="J376" s="7">
        <v>2769</v>
      </c>
      <c r="K376" s="8">
        <v>4.6570000648498535</v>
      </c>
      <c r="L376" s="9">
        <v>0</v>
      </c>
      <c r="M376" s="6"/>
      <c r="N376" s="6" t="s">
        <v>1023</v>
      </c>
      <c r="O376" s="6" t="s">
        <v>1460</v>
      </c>
    </row>
    <row r="377" spans="1:15">
      <c r="A377" s="5" t="s">
        <v>1455</v>
      </c>
      <c r="B377" s="5" t="s">
        <v>426</v>
      </c>
      <c r="C377" s="5" t="s">
        <v>247</v>
      </c>
      <c r="D377" s="10">
        <v>2769</v>
      </c>
      <c r="E377" s="35" t="s">
        <v>528</v>
      </c>
      <c r="F377" s="35" t="s">
        <v>529</v>
      </c>
      <c r="G377" s="5" t="s">
        <v>1455</v>
      </c>
      <c r="H377" s="5" t="s">
        <v>944</v>
      </c>
      <c r="I377" s="5" t="s">
        <v>85</v>
      </c>
      <c r="J377" s="10">
        <v>2775</v>
      </c>
      <c r="K377" s="11">
        <v>6.2100000381469727</v>
      </c>
      <c r="L377" s="12">
        <v>0</v>
      </c>
      <c r="M377" s="5"/>
      <c r="N377" s="5" t="s">
        <v>172</v>
      </c>
      <c r="O377" s="5" t="s">
        <v>1296</v>
      </c>
    </row>
    <row r="378" spans="1:15">
      <c r="A378" s="6" t="s">
        <v>1455</v>
      </c>
      <c r="B378" s="6" t="s">
        <v>375</v>
      </c>
      <c r="C378" s="6" t="s">
        <v>85</v>
      </c>
      <c r="D378" s="7">
        <v>2775</v>
      </c>
      <c r="E378" s="7" t="s">
        <v>528</v>
      </c>
      <c r="F378" s="7" t="s">
        <v>529</v>
      </c>
      <c r="G378" s="6" t="s">
        <v>1455</v>
      </c>
      <c r="H378" s="6" t="s">
        <v>1461</v>
      </c>
      <c r="I378" s="6" t="s">
        <v>29</v>
      </c>
      <c r="J378" s="7">
        <v>2779</v>
      </c>
      <c r="K378" s="8">
        <v>4.4169998168945313</v>
      </c>
      <c r="L378" s="9">
        <v>0</v>
      </c>
      <c r="M378" s="6"/>
      <c r="N378" s="6" t="s">
        <v>1354</v>
      </c>
      <c r="O378" s="6" t="s">
        <v>1462</v>
      </c>
    </row>
    <row r="379" spans="1:15">
      <c r="A379" s="5" t="s">
        <v>1455</v>
      </c>
      <c r="B379" s="5" t="s">
        <v>108</v>
      </c>
      <c r="C379" s="5" t="s">
        <v>29</v>
      </c>
      <c r="D379" s="10">
        <v>2779</v>
      </c>
      <c r="E379" s="35" t="s">
        <v>528</v>
      </c>
      <c r="F379" s="35" t="s">
        <v>529</v>
      </c>
      <c r="G379" s="5" t="s">
        <v>1455</v>
      </c>
      <c r="H379" s="5" t="s">
        <v>1115</v>
      </c>
      <c r="I379" s="5" t="s">
        <v>45</v>
      </c>
      <c r="J379" s="10">
        <v>2781</v>
      </c>
      <c r="K379" s="11">
        <v>1.2380000352859497</v>
      </c>
      <c r="L379" s="12">
        <v>0</v>
      </c>
      <c r="M379" s="5"/>
      <c r="N379" s="5" t="s">
        <v>81</v>
      </c>
      <c r="O379" s="5" t="s">
        <v>1247</v>
      </c>
    </row>
    <row r="380" spans="1:15">
      <c r="A380" s="6" t="s">
        <v>1455</v>
      </c>
      <c r="B380" s="6" t="s">
        <v>159</v>
      </c>
      <c r="C380" s="6" t="s">
        <v>45</v>
      </c>
      <c r="D380" s="7">
        <v>2781</v>
      </c>
      <c r="E380" s="7" t="s">
        <v>528</v>
      </c>
      <c r="F380" s="7" t="s">
        <v>529</v>
      </c>
      <c r="G380" s="6" t="s">
        <v>1455</v>
      </c>
      <c r="H380" s="6" t="s">
        <v>113</v>
      </c>
      <c r="I380" s="6" t="s">
        <v>1463</v>
      </c>
      <c r="J380" s="7">
        <v>2792</v>
      </c>
      <c r="K380" s="8">
        <v>11.26099967956543</v>
      </c>
      <c r="L380" s="9">
        <v>0</v>
      </c>
      <c r="M380" s="6"/>
      <c r="N380" s="6" t="s">
        <v>1464</v>
      </c>
      <c r="O380" s="6" t="s">
        <v>968</v>
      </c>
    </row>
    <row r="381" spans="1:15">
      <c r="A381" s="5" t="s">
        <v>1455</v>
      </c>
      <c r="B381" s="5" t="s">
        <v>277</v>
      </c>
      <c r="C381" s="5" t="s">
        <v>1463</v>
      </c>
      <c r="D381" s="10">
        <v>2792</v>
      </c>
      <c r="E381" s="35" t="s">
        <v>528</v>
      </c>
      <c r="F381" s="35" t="s">
        <v>529</v>
      </c>
      <c r="G381" s="5" t="s">
        <v>1455</v>
      </c>
      <c r="H381" s="5" t="s">
        <v>532</v>
      </c>
      <c r="I381" s="5" t="s">
        <v>1465</v>
      </c>
      <c r="J381" s="10">
        <v>2801</v>
      </c>
      <c r="K381" s="11">
        <v>9.0329999923706055</v>
      </c>
      <c r="L381" s="12">
        <v>0</v>
      </c>
      <c r="M381" s="5"/>
      <c r="N381" s="5" t="s">
        <v>1466</v>
      </c>
      <c r="O381" s="5" t="s">
        <v>1467</v>
      </c>
    </row>
    <row r="382" spans="1:15">
      <c r="A382" s="6" t="s">
        <v>1455</v>
      </c>
      <c r="B382" s="6" t="s">
        <v>851</v>
      </c>
      <c r="C382" s="6" t="s">
        <v>1465</v>
      </c>
      <c r="D382" s="7">
        <v>2801</v>
      </c>
      <c r="E382" s="7" t="s">
        <v>528</v>
      </c>
      <c r="F382" s="7" t="s">
        <v>529</v>
      </c>
      <c r="G382" s="6" t="s">
        <v>1455</v>
      </c>
      <c r="H382" s="6" t="s">
        <v>969</v>
      </c>
      <c r="I382" s="6" t="s">
        <v>45</v>
      </c>
      <c r="J382" s="7">
        <v>2806</v>
      </c>
      <c r="K382" s="8">
        <v>4.6430001258850098</v>
      </c>
      <c r="L382" s="9">
        <v>0</v>
      </c>
      <c r="M382" s="6"/>
      <c r="N382" s="6" t="s">
        <v>641</v>
      </c>
      <c r="O382" s="6" t="s">
        <v>1468</v>
      </c>
    </row>
    <row r="383" spans="1:15">
      <c r="A383" s="5" t="s">
        <v>1469</v>
      </c>
      <c r="B383" s="5" t="s">
        <v>1265</v>
      </c>
      <c r="C383" s="5" t="s">
        <v>45</v>
      </c>
      <c r="D383" s="10">
        <v>2806</v>
      </c>
      <c r="E383" s="35" t="s">
        <v>528</v>
      </c>
      <c r="F383" s="35" t="s">
        <v>529</v>
      </c>
      <c r="G383" s="5" t="s">
        <v>1469</v>
      </c>
      <c r="H383" s="5" t="s">
        <v>383</v>
      </c>
      <c r="I383" s="5" t="s">
        <v>677</v>
      </c>
      <c r="J383" s="10">
        <v>2811</v>
      </c>
      <c r="K383" s="11">
        <v>5.5659999847412109</v>
      </c>
      <c r="L383" s="12">
        <v>0</v>
      </c>
      <c r="M383" s="5"/>
      <c r="N383" s="5" t="s">
        <v>1470</v>
      </c>
      <c r="O383" s="5" t="s">
        <v>1471</v>
      </c>
    </row>
    <row r="384" spans="1:15">
      <c r="A384" s="6" t="s">
        <v>1469</v>
      </c>
      <c r="B384" s="6" t="s">
        <v>383</v>
      </c>
      <c r="C384" s="6" t="s">
        <v>43</v>
      </c>
      <c r="D384" s="7">
        <v>2811</v>
      </c>
      <c r="E384" s="7" t="s">
        <v>528</v>
      </c>
      <c r="F384" s="7" t="s">
        <v>529</v>
      </c>
      <c r="G384" s="6" t="s">
        <v>1469</v>
      </c>
      <c r="H384" s="6" t="s">
        <v>367</v>
      </c>
      <c r="I384" s="6" t="s">
        <v>45</v>
      </c>
      <c r="J384" s="7">
        <v>2817</v>
      </c>
      <c r="K384" s="8">
        <v>5.625999927520752</v>
      </c>
      <c r="L384" s="9">
        <v>0</v>
      </c>
      <c r="M384" s="6"/>
      <c r="N384" s="6" t="s">
        <v>1472</v>
      </c>
      <c r="O384" s="6" t="s">
        <v>1473</v>
      </c>
    </row>
    <row r="385" spans="1:15">
      <c r="A385" s="5" t="s">
        <v>1469</v>
      </c>
      <c r="B385" s="5" t="s">
        <v>186</v>
      </c>
      <c r="C385" s="5" t="s">
        <v>45</v>
      </c>
      <c r="D385" s="10">
        <v>2817</v>
      </c>
      <c r="E385" s="35" t="s">
        <v>528</v>
      </c>
      <c r="F385" s="35" t="s">
        <v>529</v>
      </c>
      <c r="G385" s="5" t="s">
        <v>1469</v>
      </c>
      <c r="H385" s="5" t="s">
        <v>1249</v>
      </c>
      <c r="I385" s="5" t="s">
        <v>45</v>
      </c>
      <c r="J385" s="10">
        <v>2835</v>
      </c>
      <c r="K385" s="11">
        <v>18.583000183105469</v>
      </c>
      <c r="L385" s="12">
        <v>0</v>
      </c>
      <c r="M385" s="5"/>
      <c r="N385" s="5" t="s">
        <v>1474</v>
      </c>
      <c r="O385" s="5" t="s">
        <v>1475</v>
      </c>
    </row>
    <row r="386" spans="1:15">
      <c r="A386" s="6" t="s">
        <v>1476</v>
      </c>
      <c r="B386" s="6" t="s">
        <v>363</v>
      </c>
      <c r="C386" s="6" t="s">
        <v>45</v>
      </c>
      <c r="D386" s="7">
        <v>2835</v>
      </c>
      <c r="E386" s="7" t="s">
        <v>528</v>
      </c>
      <c r="F386" s="7" t="s">
        <v>529</v>
      </c>
      <c r="G386" s="6" t="s">
        <v>1476</v>
      </c>
      <c r="H386" s="6" t="s">
        <v>453</v>
      </c>
      <c r="I386" s="6" t="s">
        <v>1292</v>
      </c>
      <c r="J386" s="7">
        <v>2839</v>
      </c>
      <c r="K386" s="8">
        <v>3.1909999847412109</v>
      </c>
      <c r="L386" s="9">
        <v>0</v>
      </c>
      <c r="M386" s="6"/>
      <c r="N386" s="6" t="s">
        <v>1477</v>
      </c>
      <c r="O386" s="6" t="s">
        <v>1478</v>
      </c>
    </row>
    <row r="387" spans="1:15">
      <c r="A387" s="5" t="s">
        <v>1476</v>
      </c>
      <c r="B387" s="5" t="s">
        <v>63</v>
      </c>
      <c r="C387" s="5" t="s">
        <v>1292</v>
      </c>
      <c r="D387" s="10">
        <v>2839</v>
      </c>
      <c r="E387" s="35" t="s">
        <v>528</v>
      </c>
      <c r="F387" s="35" t="s">
        <v>529</v>
      </c>
      <c r="G387" s="5" t="s">
        <v>1476</v>
      </c>
      <c r="H387" s="5" t="s">
        <v>152</v>
      </c>
      <c r="I387" s="5" t="s">
        <v>45</v>
      </c>
      <c r="J387" s="10">
        <v>2842</v>
      </c>
      <c r="K387" s="11">
        <v>3.1549999713897705</v>
      </c>
      <c r="L387" s="12">
        <v>0</v>
      </c>
      <c r="M387" s="5"/>
      <c r="N387" s="5" t="s">
        <v>1479</v>
      </c>
      <c r="O387" s="5" t="s">
        <v>1480</v>
      </c>
    </row>
    <row r="388" spans="1:15">
      <c r="A388" s="6" t="s">
        <v>1476</v>
      </c>
      <c r="B388" s="6" t="s">
        <v>407</v>
      </c>
      <c r="C388" s="6" t="s">
        <v>45</v>
      </c>
      <c r="D388" s="7">
        <v>2842</v>
      </c>
      <c r="E388" s="7" t="s">
        <v>528</v>
      </c>
      <c r="F388" s="7" t="s">
        <v>529</v>
      </c>
      <c r="G388" s="6" t="s">
        <v>1476</v>
      </c>
      <c r="H388" s="6" t="s">
        <v>659</v>
      </c>
      <c r="I388" s="6" t="s">
        <v>85</v>
      </c>
      <c r="J388" s="7">
        <v>2847</v>
      </c>
      <c r="K388" s="8">
        <v>5.6690001487731934</v>
      </c>
      <c r="L388" s="9">
        <v>0</v>
      </c>
      <c r="M388" s="6"/>
      <c r="N388" s="6" t="s">
        <v>1481</v>
      </c>
      <c r="O388" s="6" t="s">
        <v>1312</v>
      </c>
    </row>
    <row r="389" spans="1:15">
      <c r="A389" s="5" t="s">
        <v>1476</v>
      </c>
      <c r="B389" s="5" t="s">
        <v>590</v>
      </c>
      <c r="C389" s="5" t="s">
        <v>85</v>
      </c>
      <c r="D389" s="10">
        <v>2847</v>
      </c>
      <c r="E389" s="35" t="s">
        <v>528</v>
      </c>
      <c r="F389" s="35" t="s">
        <v>529</v>
      </c>
      <c r="G389" s="5" t="s">
        <v>1476</v>
      </c>
      <c r="H389" s="5" t="s">
        <v>774</v>
      </c>
      <c r="I389" s="5" t="s">
        <v>45</v>
      </c>
      <c r="J389" s="10">
        <v>2853</v>
      </c>
      <c r="K389" s="11">
        <v>5.2680001258850098</v>
      </c>
      <c r="L389" s="12">
        <v>0</v>
      </c>
      <c r="M389" s="5"/>
      <c r="N389" s="5" t="s">
        <v>1482</v>
      </c>
      <c r="O389" s="5" t="s">
        <v>1483</v>
      </c>
    </row>
    <row r="390" spans="1:15">
      <c r="A390" s="6" t="s">
        <v>1484</v>
      </c>
      <c r="B390" s="6" t="s">
        <v>1485</v>
      </c>
      <c r="C390" s="6" t="s">
        <v>45</v>
      </c>
      <c r="D390" s="7">
        <v>2853</v>
      </c>
      <c r="E390" s="7" t="s">
        <v>528</v>
      </c>
      <c r="F390" s="7" t="s">
        <v>529</v>
      </c>
      <c r="G390" s="6" t="s">
        <v>1484</v>
      </c>
      <c r="H390" s="6" t="s">
        <v>829</v>
      </c>
      <c r="I390" s="6" t="s">
        <v>85</v>
      </c>
      <c r="J390" s="7">
        <v>2858</v>
      </c>
      <c r="K390" s="8">
        <v>5.6960000991821289</v>
      </c>
      <c r="L390" s="9">
        <v>0</v>
      </c>
      <c r="M390" s="6"/>
      <c r="N390" s="6" t="s">
        <v>648</v>
      </c>
      <c r="O390" s="6" t="s">
        <v>1486</v>
      </c>
    </row>
    <row r="391" spans="1:15">
      <c r="A391" s="5" t="s">
        <v>1484</v>
      </c>
      <c r="B391" s="5" t="s">
        <v>226</v>
      </c>
      <c r="C391" s="5" t="s">
        <v>85</v>
      </c>
      <c r="D391" s="10">
        <v>2858</v>
      </c>
      <c r="E391" s="35" t="s">
        <v>528</v>
      </c>
      <c r="F391" s="35" t="s">
        <v>529</v>
      </c>
      <c r="G391" s="5" t="s">
        <v>1484</v>
      </c>
      <c r="H391" s="5" t="s">
        <v>229</v>
      </c>
      <c r="I391" s="5" t="s">
        <v>45</v>
      </c>
      <c r="J391" s="10">
        <v>2864</v>
      </c>
      <c r="K391" s="11">
        <v>5.2399997711181641</v>
      </c>
      <c r="L391" s="12">
        <v>0</v>
      </c>
      <c r="M391" s="5"/>
      <c r="N391" s="5" t="s">
        <v>1487</v>
      </c>
      <c r="O391" s="5" t="s">
        <v>1488</v>
      </c>
    </row>
    <row r="392" spans="1:15">
      <c r="A392" s="6" t="s">
        <v>1489</v>
      </c>
      <c r="B392" s="6" t="s">
        <v>1201</v>
      </c>
      <c r="C392" s="6" t="s">
        <v>45</v>
      </c>
      <c r="D392" s="7">
        <v>2864</v>
      </c>
      <c r="E392" s="7" t="s">
        <v>528</v>
      </c>
      <c r="F392" s="7" t="s">
        <v>529</v>
      </c>
      <c r="G392" s="6" t="s">
        <v>1489</v>
      </c>
      <c r="H392" s="6" t="s">
        <v>1170</v>
      </c>
      <c r="I392" s="6" t="s">
        <v>1490</v>
      </c>
      <c r="J392" s="7">
        <v>2867</v>
      </c>
      <c r="K392" s="8">
        <v>3.875999927520752</v>
      </c>
      <c r="L392" s="9">
        <v>0</v>
      </c>
      <c r="M392" s="6"/>
      <c r="N392" s="6" t="s">
        <v>1075</v>
      </c>
      <c r="O392" s="6" t="s">
        <v>680</v>
      </c>
    </row>
    <row r="393" spans="1:15">
      <c r="A393" s="5" t="s">
        <v>1489</v>
      </c>
      <c r="B393" s="5" t="s">
        <v>509</v>
      </c>
      <c r="C393" s="5" t="s">
        <v>1490</v>
      </c>
      <c r="D393" s="10">
        <v>2868</v>
      </c>
      <c r="E393" s="35" t="s">
        <v>528</v>
      </c>
      <c r="F393" s="35" t="s">
        <v>529</v>
      </c>
      <c r="G393" s="5" t="s">
        <v>1489</v>
      </c>
      <c r="H393" s="5" t="s">
        <v>756</v>
      </c>
      <c r="I393" s="5" t="s">
        <v>1129</v>
      </c>
      <c r="J393" s="10">
        <v>2871</v>
      </c>
      <c r="K393" s="11">
        <v>2.9470000267028809</v>
      </c>
      <c r="L393" s="12">
        <v>0</v>
      </c>
      <c r="M393" s="5"/>
      <c r="N393" s="5" t="s">
        <v>1491</v>
      </c>
      <c r="O393" s="5" t="s">
        <v>1492</v>
      </c>
    </row>
    <row r="394" spans="1:15">
      <c r="A394" s="6" t="s">
        <v>1489</v>
      </c>
      <c r="B394" s="6" t="s">
        <v>945</v>
      </c>
      <c r="C394" s="6" t="s">
        <v>1129</v>
      </c>
      <c r="D394" s="7">
        <v>2871</v>
      </c>
      <c r="E394" s="7" t="s">
        <v>528</v>
      </c>
      <c r="F394" s="7" t="s">
        <v>529</v>
      </c>
      <c r="G394" s="6" t="s">
        <v>1489</v>
      </c>
      <c r="H394" s="6" t="s">
        <v>1493</v>
      </c>
      <c r="I394" s="6" t="s">
        <v>45</v>
      </c>
      <c r="J394" s="7">
        <v>2876</v>
      </c>
      <c r="K394" s="8">
        <v>5.0869998931884766</v>
      </c>
      <c r="L394" s="9">
        <v>0</v>
      </c>
      <c r="M394" s="6"/>
      <c r="N394" s="6" t="s">
        <v>181</v>
      </c>
      <c r="O394" s="6" t="s">
        <v>1494</v>
      </c>
    </row>
    <row r="395" spans="1:15">
      <c r="A395" s="5" t="s">
        <v>1495</v>
      </c>
      <c r="B395" s="5" t="s">
        <v>67</v>
      </c>
      <c r="C395" s="5" t="s">
        <v>45</v>
      </c>
      <c r="D395" s="10">
        <v>2876</v>
      </c>
      <c r="E395" s="35" t="s">
        <v>528</v>
      </c>
      <c r="F395" s="35" t="s">
        <v>529</v>
      </c>
      <c r="G395" s="5" t="s">
        <v>1495</v>
      </c>
      <c r="H395" s="5" t="s">
        <v>261</v>
      </c>
      <c r="I395" s="5" t="s">
        <v>50</v>
      </c>
      <c r="J395" s="10">
        <v>2885</v>
      </c>
      <c r="K395" s="11">
        <v>9.1879997253417969</v>
      </c>
      <c r="L395" s="12">
        <v>0</v>
      </c>
      <c r="M395" s="5"/>
      <c r="N395" s="5" t="s">
        <v>1496</v>
      </c>
      <c r="O395" s="5" t="s">
        <v>1312</v>
      </c>
    </row>
    <row r="396" spans="1:15">
      <c r="A396" s="6" t="s">
        <v>1495</v>
      </c>
      <c r="B396" s="6" t="s">
        <v>951</v>
      </c>
      <c r="C396" s="6" t="s">
        <v>50</v>
      </c>
      <c r="D396" s="7">
        <v>2885</v>
      </c>
      <c r="E396" s="7" t="s">
        <v>528</v>
      </c>
      <c r="F396" s="7" t="s">
        <v>529</v>
      </c>
      <c r="G396" s="6" t="s">
        <v>1495</v>
      </c>
      <c r="H396" s="6" t="s">
        <v>80</v>
      </c>
      <c r="I396" s="6" t="s">
        <v>45</v>
      </c>
      <c r="J396" s="7">
        <v>2894</v>
      </c>
      <c r="K396" s="8">
        <v>9.3520002365112305</v>
      </c>
      <c r="L396" s="9">
        <v>0</v>
      </c>
      <c r="M396" s="6"/>
      <c r="N396" s="6" t="s">
        <v>1497</v>
      </c>
      <c r="O396" s="6" t="s">
        <v>1498</v>
      </c>
    </row>
    <row r="397" spans="1:15">
      <c r="A397" s="5" t="s">
        <v>1495</v>
      </c>
      <c r="B397" s="5" t="s">
        <v>1201</v>
      </c>
      <c r="C397" s="5" t="s">
        <v>45</v>
      </c>
      <c r="D397" s="10">
        <v>2894</v>
      </c>
      <c r="E397" s="35" t="s">
        <v>528</v>
      </c>
      <c r="F397" s="35" t="s">
        <v>529</v>
      </c>
      <c r="G397" s="5" t="s">
        <v>1495</v>
      </c>
      <c r="H397" s="5" t="s">
        <v>751</v>
      </c>
      <c r="I397" s="5" t="s">
        <v>506</v>
      </c>
      <c r="J397" s="10">
        <v>2896</v>
      </c>
      <c r="K397" s="11">
        <v>1.4839999675750732</v>
      </c>
      <c r="L397" s="12">
        <v>0</v>
      </c>
      <c r="M397" s="5"/>
      <c r="N397" s="5" t="s">
        <v>1499</v>
      </c>
      <c r="O397" s="5" t="s">
        <v>202</v>
      </c>
    </row>
    <row r="398" spans="1:15">
      <c r="A398" s="6" t="s">
        <v>1495</v>
      </c>
      <c r="B398" s="6" t="s">
        <v>1500</v>
      </c>
      <c r="C398" s="6" t="s">
        <v>506</v>
      </c>
      <c r="D398" s="7">
        <v>2896</v>
      </c>
      <c r="E398" s="7" t="s">
        <v>528</v>
      </c>
      <c r="F398" s="7" t="s">
        <v>529</v>
      </c>
      <c r="G398" s="6" t="s">
        <v>1495</v>
      </c>
      <c r="H398" s="6" t="s">
        <v>287</v>
      </c>
      <c r="I398" s="6" t="s">
        <v>45</v>
      </c>
      <c r="J398" s="7">
        <v>2897</v>
      </c>
      <c r="K398" s="8">
        <v>1.5099999904632568</v>
      </c>
      <c r="L398" s="9">
        <v>0</v>
      </c>
      <c r="M398" s="6"/>
      <c r="N398" s="6" t="s">
        <v>1501</v>
      </c>
      <c r="O398" s="6" t="s">
        <v>1502</v>
      </c>
    </row>
    <row r="399" spans="1:15">
      <c r="A399" s="5" t="s">
        <v>1503</v>
      </c>
      <c r="B399" s="5" t="s">
        <v>1504</v>
      </c>
      <c r="C399" s="5" t="s">
        <v>17</v>
      </c>
      <c r="D399" s="10">
        <v>2897</v>
      </c>
      <c r="E399" s="35" t="s">
        <v>528</v>
      </c>
      <c r="F399" s="35" t="s">
        <v>529</v>
      </c>
      <c r="G399" s="5" t="s">
        <v>1503</v>
      </c>
      <c r="H399" s="5" t="s">
        <v>1505</v>
      </c>
      <c r="I399" s="5" t="s">
        <v>419</v>
      </c>
      <c r="J399" s="10">
        <v>2903</v>
      </c>
      <c r="K399" s="11">
        <v>5.5770001411437988</v>
      </c>
      <c r="L399" s="12">
        <v>0</v>
      </c>
      <c r="M399" s="5"/>
      <c r="N399" s="5" t="s">
        <v>936</v>
      </c>
      <c r="O399" s="5" t="s">
        <v>1506</v>
      </c>
    </row>
    <row r="400" spans="1:15">
      <c r="A400" s="6" t="s">
        <v>1503</v>
      </c>
      <c r="B400" s="6" t="s">
        <v>692</v>
      </c>
      <c r="C400" s="6" t="s">
        <v>419</v>
      </c>
      <c r="D400" s="7">
        <v>2903</v>
      </c>
      <c r="E400" s="7" t="s">
        <v>528</v>
      </c>
      <c r="F400" s="7" t="s">
        <v>529</v>
      </c>
      <c r="G400" s="6" t="s">
        <v>1503</v>
      </c>
      <c r="H400" s="6" t="s">
        <v>1507</v>
      </c>
      <c r="I400" s="6" t="s">
        <v>45</v>
      </c>
      <c r="J400" s="7">
        <v>2908</v>
      </c>
      <c r="K400" s="8">
        <v>5.2680001258850098</v>
      </c>
      <c r="L400" s="9">
        <v>0</v>
      </c>
      <c r="M400" s="6"/>
      <c r="N400" s="6" t="s">
        <v>1508</v>
      </c>
      <c r="O400" s="6" t="s">
        <v>1509</v>
      </c>
    </row>
    <row r="401" spans="1:15">
      <c r="A401" s="5" t="s">
        <v>1510</v>
      </c>
      <c r="B401" s="5" t="s">
        <v>1511</v>
      </c>
      <c r="C401" s="5" t="s">
        <v>45</v>
      </c>
      <c r="D401" s="10">
        <v>2908</v>
      </c>
      <c r="E401" s="35" t="s">
        <v>528</v>
      </c>
      <c r="F401" s="35" t="s">
        <v>529</v>
      </c>
      <c r="G401" s="5" t="s">
        <v>1510</v>
      </c>
      <c r="H401" s="5" t="s">
        <v>1512</v>
      </c>
      <c r="I401" s="5" t="s">
        <v>677</v>
      </c>
      <c r="J401" s="10">
        <v>2914</v>
      </c>
      <c r="K401" s="11">
        <v>5.5479998588562012</v>
      </c>
      <c r="L401" s="12">
        <v>0</v>
      </c>
      <c r="M401" s="5"/>
      <c r="N401" s="5" t="s">
        <v>1513</v>
      </c>
      <c r="O401" s="5" t="s">
        <v>1514</v>
      </c>
    </row>
    <row r="402" spans="1:15">
      <c r="A402" s="6" t="s">
        <v>1510</v>
      </c>
      <c r="B402" s="6" t="s">
        <v>1515</v>
      </c>
      <c r="C402" s="6" t="s">
        <v>677</v>
      </c>
      <c r="D402" s="7">
        <v>2914</v>
      </c>
      <c r="E402" s="7" t="s">
        <v>528</v>
      </c>
      <c r="F402" s="7" t="s">
        <v>529</v>
      </c>
      <c r="G402" s="6" t="s">
        <v>1510</v>
      </c>
      <c r="H402" s="6" t="s">
        <v>1516</v>
      </c>
      <c r="I402" s="6" t="s">
        <v>110</v>
      </c>
      <c r="J402" s="7">
        <v>2916</v>
      </c>
      <c r="K402" s="8">
        <v>2.4100000858306885</v>
      </c>
      <c r="L402" s="9">
        <v>0</v>
      </c>
      <c r="M402" s="6"/>
      <c r="N402" s="6" t="s">
        <v>394</v>
      </c>
      <c r="O402" s="6" t="s">
        <v>1517</v>
      </c>
    </row>
    <row r="403" spans="1:15">
      <c r="A403" s="5" t="s">
        <v>1510</v>
      </c>
      <c r="B403" s="5" t="s">
        <v>1518</v>
      </c>
      <c r="C403" s="5" t="s">
        <v>110</v>
      </c>
      <c r="D403" s="10">
        <v>2916</v>
      </c>
      <c r="E403" s="35" t="s">
        <v>528</v>
      </c>
      <c r="F403" s="35" t="s">
        <v>529</v>
      </c>
      <c r="G403" s="5" t="s">
        <v>1510</v>
      </c>
      <c r="H403" s="5" t="s">
        <v>1519</v>
      </c>
      <c r="I403" s="5" t="s">
        <v>45</v>
      </c>
      <c r="J403" s="10">
        <v>2923</v>
      </c>
      <c r="K403" s="11">
        <v>6.8819999694824219</v>
      </c>
      <c r="L403" s="12">
        <v>0</v>
      </c>
      <c r="M403" s="5"/>
      <c r="N403" s="5" t="s">
        <v>1520</v>
      </c>
      <c r="O403" s="5" t="s">
        <v>1521</v>
      </c>
    </row>
    <row r="404" spans="1:15">
      <c r="A404" s="6" t="s">
        <v>1522</v>
      </c>
      <c r="B404" s="6" t="s">
        <v>851</v>
      </c>
      <c r="C404" s="6" t="s">
        <v>45</v>
      </c>
      <c r="D404" s="7">
        <v>2923</v>
      </c>
      <c r="E404" s="7" t="s">
        <v>528</v>
      </c>
      <c r="F404" s="7" t="s">
        <v>529</v>
      </c>
      <c r="G404" s="6" t="s">
        <v>1522</v>
      </c>
      <c r="H404" s="6" t="s">
        <v>655</v>
      </c>
      <c r="I404" s="6" t="s">
        <v>1215</v>
      </c>
      <c r="J404" s="7">
        <v>2927</v>
      </c>
      <c r="K404" s="8">
        <v>4.004000186920166</v>
      </c>
      <c r="L404" s="9">
        <v>0</v>
      </c>
      <c r="M404" s="6"/>
      <c r="N404" s="6" t="s">
        <v>1487</v>
      </c>
      <c r="O404" s="6" t="s">
        <v>1022</v>
      </c>
    </row>
    <row r="405" spans="1:15">
      <c r="A405" s="5" t="s">
        <v>1522</v>
      </c>
      <c r="B405" s="5" t="s">
        <v>655</v>
      </c>
      <c r="C405" s="5" t="s">
        <v>1215</v>
      </c>
      <c r="D405" s="10">
        <v>2927</v>
      </c>
      <c r="E405" s="35" t="s">
        <v>528</v>
      </c>
      <c r="F405" s="35" t="s">
        <v>529</v>
      </c>
      <c r="G405" s="5" t="s">
        <v>1522</v>
      </c>
      <c r="H405" s="5" t="s">
        <v>778</v>
      </c>
      <c r="I405" s="5" t="s">
        <v>1523</v>
      </c>
      <c r="J405" s="10">
        <v>2927</v>
      </c>
      <c r="K405" s="11">
        <v>0.57700002193450928</v>
      </c>
      <c r="L405" s="12">
        <v>0</v>
      </c>
      <c r="M405" s="5"/>
      <c r="N405" s="5" t="s">
        <v>423</v>
      </c>
      <c r="O405" s="5" t="s">
        <v>1524</v>
      </c>
    </row>
    <row r="406" spans="1:15">
      <c r="A406" s="6" t="s">
        <v>1522</v>
      </c>
      <c r="B406" s="6" t="s">
        <v>763</v>
      </c>
      <c r="C406" s="6" t="s">
        <v>1523</v>
      </c>
      <c r="D406" s="7">
        <v>2927</v>
      </c>
      <c r="E406" s="7" t="s">
        <v>528</v>
      </c>
      <c r="F406" s="7" t="s">
        <v>529</v>
      </c>
      <c r="G406" s="6" t="s">
        <v>1522</v>
      </c>
      <c r="H406" s="6" t="s">
        <v>542</v>
      </c>
      <c r="I406" s="6" t="s">
        <v>17</v>
      </c>
      <c r="J406" s="7">
        <v>2931</v>
      </c>
      <c r="K406" s="8">
        <v>3.8589999675750732</v>
      </c>
      <c r="L406" s="9">
        <v>0</v>
      </c>
      <c r="M406" s="6"/>
      <c r="N406" s="6" t="s">
        <v>245</v>
      </c>
      <c r="O406" s="6" t="s">
        <v>1525</v>
      </c>
    </row>
    <row r="407" spans="1:15">
      <c r="A407" s="5" t="s">
        <v>1526</v>
      </c>
      <c r="B407" s="5" t="s">
        <v>601</v>
      </c>
      <c r="C407" s="5" t="s">
        <v>17</v>
      </c>
      <c r="D407" s="10">
        <v>2931</v>
      </c>
      <c r="E407" s="35" t="s">
        <v>528</v>
      </c>
      <c r="F407" s="35" t="s">
        <v>529</v>
      </c>
      <c r="G407" s="5" t="s">
        <v>1526</v>
      </c>
      <c r="H407" s="5" t="s">
        <v>1047</v>
      </c>
      <c r="I407" s="5" t="s">
        <v>1101</v>
      </c>
      <c r="J407" s="10">
        <v>2932</v>
      </c>
      <c r="K407" s="11">
        <v>1.0490000247955322</v>
      </c>
      <c r="L407" s="12">
        <v>0</v>
      </c>
      <c r="M407" s="5"/>
      <c r="N407" s="5" t="s">
        <v>1447</v>
      </c>
      <c r="O407" s="5" t="s">
        <v>1527</v>
      </c>
    </row>
    <row r="408" spans="1:15">
      <c r="A408" s="6" t="s">
        <v>1526</v>
      </c>
      <c r="B408" s="6" t="s">
        <v>104</v>
      </c>
      <c r="C408" s="6" t="s">
        <v>1528</v>
      </c>
      <c r="D408" s="7">
        <v>2932</v>
      </c>
      <c r="E408" s="7" t="s">
        <v>528</v>
      </c>
      <c r="F408" s="7" t="s">
        <v>529</v>
      </c>
      <c r="G408" s="6" t="s">
        <v>1526</v>
      </c>
      <c r="H408" s="6" t="s">
        <v>171</v>
      </c>
      <c r="I408" s="6" t="s">
        <v>50</v>
      </c>
      <c r="J408" s="7">
        <v>2941</v>
      </c>
      <c r="K408" s="8">
        <v>8.4469995498657227</v>
      </c>
      <c r="L408" s="9">
        <v>0</v>
      </c>
      <c r="M408" s="6"/>
      <c r="N408" s="6" t="s">
        <v>543</v>
      </c>
      <c r="O408" s="6" t="s">
        <v>1529</v>
      </c>
    </row>
    <row r="409" spans="1:15">
      <c r="A409" s="5" t="s">
        <v>1526</v>
      </c>
      <c r="B409" s="5" t="s">
        <v>261</v>
      </c>
      <c r="C409" s="5" t="s">
        <v>50</v>
      </c>
      <c r="D409" s="10">
        <v>2941</v>
      </c>
      <c r="E409" s="35" t="s">
        <v>528</v>
      </c>
      <c r="F409" s="35" t="s">
        <v>529</v>
      </c>
      <c r="G409" s="5" t="s">
        <v>1526</v>
      </c>
      <c r="H409" s="5" t="s">
        <v>638</v>
      </c>
      <c r="I409" s="5" t="s">
        <v>45</v>
      </c>
      <c r="J409" s="10">
        <v>2950</v>
      </c>
      <c r="K409" s="11">
        <v>9.4569997787475586</v>
      </c>
      <c r="L409" s="12">
        <v>0</v>
      </c>
      <c r="M409" s="5"/>
      <c r="N409" s="5" t="s">
        <v>1530</v>
      </c>
      <c r="O409" s="5" t="s">
        <v>1531</v>
      </c>
    </row>
    <row r="410" spans="1:15">
      <c r="A410" s="6" t="s">
        <v>1532</v>
      </c>
      <c r="B410" s="6" t="s">
        <v>1044</v>
      </c>
      <c r="C410" s="6" t="s">
        <v>45</v>
      </c>
      <c r="D410" s="7">
        <v>2950</v>
      </c>
      <c r="E410" s="7" t="s">
        <v>528</v>
      </c>
      <c r="F410" s="7" t="s">
        <v>529</v>
      </c>
      <c r="G410" s="6" t="s">
        <v>1532</v>
      </c>
      <c r="H410" s="6" t="s">
        <v>733</v>
      </c>
      <c r="I410" s="6" t="s">
        <v>1215</v>
      </c>
      <c r="J410" s="7">
        <v>2954</v>
      </c>
      <c r="K410" s="8">
        <v>3.562000036239624</v>
      </c>
      <c r="L410" s="9">
        <v>0</v>
      </c>
      <c r="M410" s="6"/>
      <c r="N410" s="6" t="s">
        <v>1533</v>
      </c>
      <c r="O410" s="6" t="s">
        <v>1007</v>
      </c>
    </row>
    <row r="411" spans="1:15">
      <c r="A411" s="5" t="s">
        <v>1532</v>
      </c>
      <c r="B411" s="5" t="s">
        <v>441</v>
      </c>
      <c r="C411" s="5" t="s">
        <v>1215</v>
      </c>
      <c r="D411" s="10">
        <v>2954</v>
      </c>
      <c r="E411" s="35" t="s">
        <v>528</v>
      </c>
      <c r="F411" s="35" t="s">
        <v>529</v>
      </c>
      <c r="G411" s="5" t="s">
        <v>1532</v>
      </c>
      <c r="H411" s="5" t="s">
        <v>1316</v>
      </c>
      <c r="I411" s="5" t="s">
        <v>17</v>
      </c>
      <c r="J411" s="10">
        <v>2958</v>
      </c>
      <c r="K411" s="11">
        <v>4.3449997901916504</v>
      </c>
      <c r="L411" s="12">
        <v>0</v>
      </c>
      <c r="M411" s="5"/>
      <c r="N411" s="5" t="s">
        <v>786</v>
      </c>
      <c r="O411" s="5" t="s">
        <v>1318</v>
      </c>
    </row>
    <row r="412" spans="1:15">
      <c r="A412" s="6" t="s">
        <v>1532</v>
      </c>
      <c r="B412" s="6" t="s">
        <v>837</v>
      </c>
      <c r="C412" s="6" t="s">
        <v>17</v>
      </c>
      <c r="D412" s="7">
        <v>2958</v>
      </c>
      <c r="E412" s="7" t="s">
        <v>528</v>
      </c>
      <c r="F412" s="7" t="s">
        <v>529</v>
      </c>
      <c r="G412" s="6" t="s">
        <v>1532</v>
      </c>
      <c r="H412" s="6" t="s">
        <v>841</v>
      </c>
      <c r="I412" s="6" t="s">
        <v>140</v>
      </c>
      <c r="J412" s="7">
        <v>2961</v>
      </c>
      <c r="K412" s="8">
        <v>2.7009999752044678</v>
      </c>
      <c r="L412" s="9">
        <v>0</v>
      </c>
      <c r="M412" s="6"/>
      <c r="N412" s="6" t="s">
        <v>1345</v>
      </c>
      <c r="O412" s="6" t="s">
        <v>1534</v>
      </c>
    </row>
    <row r="413" spans="1:15">
      <c r="A413" s="5" t="s">
        <v>1532</v>
      </c>
      <c r="B413" s="5" t="s">
        <v>951</v>
      </c>
      <c r="C413" s="5" t="s">
        <v>140</v>
      </c>
      <c r="D413" s="10">
        <v>2961</v>
      </c>
      <c r="E413" s="35" t="s">
        <v>528</v>
      </c>
      <c r="F413" s="35" t="s">
        <v>529</v>
      </c>
      <c r="G413" s="5" t="s">
        <v>1532</v>
      </c>
      <c r="H413" s="5" t="s">
        <v>638</v>
      </c>
      <c r="I413" s="5" t="s">
        <v>17</v>
      </c>
      <c r="J413" s="10">
        <v>2964</v>
      </c>
      <c r="K413" s="11">
        <v>2.7929999828338623</v>
      </c>
      <c r="L413" s="12">
        <v>0</v>
      </c>
      <c r="M413" s="5"/>
      <c r="N413" s="5" t="s">
        <v>1045</v>
      </c>
      <c r="O413" s="5" t="s">
        <v>1535</v>
      </c>
    </row>
    <row r="414" spans="1:15">
      <c r="A414" s="6" t="s">
        <v>1532</v>
      </c>
      <c r="B414" s="6" t="s">
        <v>1536</v>
      </c>
      <c r="C414" s="6" t="s">
        <v>17</v>
      </c>
      <c r="D414" s="7">
        <v>2964</v>
      </c>
      <c r="E414" s="7" t="s">
        <v>528</v>
      </c>
      <c r="F414" s="7" t="s">
        <v>529</v>
      </c>
      <c r="G414" s="6" t="s">
        <v>1532</v>
      </c>
      <c r="H414" s="6" t="s">
        <v>969</v>
      </c>
      <c r="I414" s="6" t="s">
        <v>410</v>
      </c>
      <c r="J414" s="7">
        <v>2965</v>
      </c>
      <c r="K414" s="8">
        <v>1.0360000133514404</v>
      </c>
      <c r="L414" s="9">
        <v>0</v>
      </c>
      <c r="M414" s="6"/>
      <c r="N414" s="6" t="s">
        <v>1537</v>
      </c>
      <c r="O414" s="6" t="s">
        <v>1538</v>
      </c>
    </row>
    <row r="415" spans="1:15">
      <c r="A415" s="5" t="s">
        <v>1532</v>
      </c>
      <c r="B415" s="5" t="s">
        <v>1426</v>
      </c>
      <c r="C415" s="5" t="s">
        <v>1539</v>
      </c>
      <c r="D415" s="10">
        <v>2965</v>
      </c>
      <c r="E415" s="35" t="s">
        <v>528</v>
      </c>
      <c r="F415" s="35" t="s">
        <v>529</v>
      </c>
      <c r="G415" s="5" t="s">
        <v>1532</v>
      </c>
      <c r="H415" s="5" t="s">
        <v>1193</v>
      </c>
      <c r="I415" s="5" t="s">
        <v>17</v>
      </c>
      <c r="J415" s="10">
        <v>2966</v>
      </c>
      <c r="K415" s="11">
        <v>1.0640000104904175</v>
      </c>
      <c r="L415" s="12">
        <v>0</v>
      </c>
      <c r="M415" s="5"/>
      <c r="N415" s="5" t="s">
        <v>514</v>
      </c>
      <c r="O415" s="5" t="s">
        <v>1540</v>
      </c>
    </row>
    <row r="416" spans="1:15">
      <c r="A416" s="6" t="s">
        <v>1541</v>
      </c>
      <c r="B416" s="6" t="s">
        <v>746</v>
      </c>
      <c r="C416" s="6" t="s">
        <v>17</v>
      </c>
      <c r="D416" s="7">
        <v>2966</v>
      </c>
      <c r="E416" s="7" t="s">
        <v>528</v>
      </c>
      <c r="F416" s="7" t="s">
        <v>529</v>
      </c>
      <c r="G416" s="6" t="s">
        <v>1541</v>
      </c>
      <c r="H416" s="6" t="s">
        <v>627</v>
      </c>
      <c r="I416" s="6" t="s">
        <v>1542</v>
      </c>
      <c r="J416" s="7">
        <v>2975</v>
      </c>
      <c r="K416" s="8">
        <v>9.680999755859375</v>
      </c>
      <c r="L416" s="9">
        <v>0</v>
      </c>
      <c r="M416" s="6"/>
      <c r="N416" s="6" t="s">
        <v>1543</v>
      </c>
      <c r="O416" s="6" t="s">
        <v>1544</v>
      </c>
    </row>
    <row r="417" spans="1:15">
      <c r="A417" s="5" t="s">
        <v>1541</v>
      </c>
      <c r="B417" s="5" t="s">
        <v>1021</v>
      </c>
      <c r="C417" s="5" t="s">
        <v>1542</v>
      </c>
      <c r="D417" s="10">
        <v>2975</v>
      </c>
      <c r="E417" s="35" t="s">
        <v>528</v>
      </c>
      <c r="F417" s="35" t="s">
        <v>529</v>
      </c>
      <c r="G417" s="5" t="s">
        <v>1541</v>
      </c>
      <c r="H417" s="5" t="s">
        <v>344</v>
      </c>
      <c r="I417" s="5" t="s">
        <v>17</v>
      </c>
      <c r="J417" s="10">
        <v>2985</v>
      </c>
      <c r="K417" s="11">
        <v>9.1219997406005859</v>
      </c>
      <c r="L417" s="12">
        <v>0</v>
      </c>
      <c r="M417" s="5"/>
      <c r="N417" s="5" t="s">
        <v>1545</v>
      </c>
      <c r="O417" s="5" t="s">
        <v>1546</v>
      </c>
    </row>
    <row r="418" spans="1:15">
      <c r="A418" s="6" t="s">
        <v>1541</v>
      </c>
      <c r="B418" s="6" t="s">
        <v>243</v>
      </c>
      <c r="C418" s="6" t="s">
        <v>17</v>
      </c>
      <c r="D418" s="7">
        <v>2985</v>
      </c>
      <c r="E418" s="7" t="s">
        <v>528</v>
      </c>
      <c r="F418" s="7" t="s">
        <v>529</v>
      </c>
      <c r="G418" s="6" t="s">
        <v>1541</v>
      </c>
      <c r="H418" s="6" t="s">
        <v>59</v>
      </c>
      <c r="I418" s="6" t="s">
        <v>428</v>
      </c>
      <c r="J418" s="7">
        <v>2986</v>
      </c>
      <c r="K418" s="8">
        <v>1.1599999666213989</v>
      </c>
      <c r="L418" s="9">
        <v>0</v>
      </c>
      <c r="M418" s="6"/>
      <c r="N418" s="6" t="s">
        <v>1547</v>
      </c>
      <c r="O418" s="6" t="s">
        <v>1548</v>
      </c>
    </row>
    <row r="419" spans="1:15">
      <c r="A419" s="5" t="s">
        <v>1541</v>
      </c>
      <c r="B419" s="5" t="s">
        <v>1549</v>
      </c>
      <c r="C419" s="5" t="s">
        <v>428</v>
      </c>
      <c r="D419" s="10">
        <v>2986</v>
      </c>
      <c r="E419" s="35" t="s">
        <v>528</v>
      </c>
      <c r="F419" s="35" t="s">
        <v>529</v>
      </c>
      <c r="G419" s="5" t="s">
        <v>1541</v>
      </c>
      <c r="H419" s="5" t="s">
        <v>1205</v>
      </c>
      <c r="I419" s="5" t="s">
        <v>17</v>
      </c>
      <c r="J419" s="10">
        <v>2987</v>
      </c>
      <c r="K419" s="11">
        <v>1.281999945640564</v>
      </c>
      <c r="L419" s="12">
        <v>0</v>
      </c>
      <c r="M419" s="5"/>
      <c r="N419" s="5" t="s">
        <v>454</v>
      </c>
      <c r="O419" s="5" t="s">
        <v>1550</v>
      </c>
    </row>
    <row r="420" spans="1:15">
      <c r="A420" s="6" t="s">
        <v>1541</v>
      </c>
      <c r="B420" s="6" t="s">
        <v>483</v>
      </c>
      <c r="C420" s="6" t="s">
        <v>17</v>
      </c>
      <c r="D420" s="7">
        <v>2987</v>
      </c>
      <c r="E420" s="7" t="s">
        <v>528</v>
      </c>
      <c r="F420" s="7" t="s">
        <v>529</v>
      </c>
      <c r="G420" s="6" t="s">
        <v>1541</v>
      </c>
      <c r="H420" s="6" t="s">
        <v>957</v>
      </c>
      <c r="I420" s="6" t="s">
        <v>247</v>
      </c>
      <c r="J420" s="7">
        <v>2992</v>
      </c>
      <c r="K420" s="8">
        <v>4.7039999961853027</v>
      </c>
      <c r="L420" s="9">
        <v>0</v>
      </c>
      <c r="M420" s="6"/>
      <c r="N420" s="6" t="s">
        <v>1482</v>
      </c>
      <c r="O420" s="6" t="s">
        <v>413</v>
      </c>
    </row>
    <row r="421" spans="1:15">
      <c r="A421" s="5" t="s">
        <v>1541</v>
      </c>
      <c r="B421" s="5" t="s">
        <v>214</v>
      </c>
      <c r="C421" s="5" t="s">
        <v>247</v>
      </c>
      <c r="D421" s="10">
        <v>2992</v>
      </c>
      <c r="E421" s="35" t="s">
        <v>528</v>
      </c>
      <c r="F421" s="35" t="s">
        <v>529</v>
      </c>
      <c r="G421" s="5" t="s">
        <v>1541</v>
      </c>
      <c r="H421" s="5" t="s">
        <v>875</v>
      </c>
      <c r="I421" s="5" t="s">
        <v>1215</v>
      </c>
      <c r="J421" s="10">
        <v>2996</v>
      </c>
      <c r="K421" s="11">
        <v>4.6449999809265137</v>
      </c>
      <c r="L421" s="12">
        <v>0</v>
      </c>
      <c r="M421" s="5"/>
      <c r="N421" s="5" t="s">
        <v>1217</v>
      </c>
      <c r="O421" s="5" t="s">
        <v>973</v>
      </c>
    </row>
    <row r="422" spans="1:15">
      <c r="A422" s="6" t="s">
        <v>1541</v>
      </c>
      <c r="B422" s="6" t="s">
        <v>217</v>
      </c>
      <c r="C422" s="6" t="s">
        <v>1215</v>
      </c>
      <c r="D422" s="7">
        <v>2996</v>
      </c>
      <c r="E422" s="7" t="s">
        <v>528</v>
      </c>
      <c r="F422" s="7" t="s">
        <v>529</v>
      </c>
      <c r="G422" s="6" t="s">
        <v>1541</v>
      </c>
      <c r="H422" s="6" t="s">
        <v>163</v>
      </c>
      <c r="I422" s="6" t="s">
        <v>410</v>
      </c>
      <c r="J422" s="7">
        <v>3000</v>
      </c>
      <c r="K422" s="8">
        <v>3.2400000095367432</v>
      </c>
      <c r="L422" s="9">
        <v>0</v>
      </c>
      <c r="M422" s="6"/>
      <c r="N422" s="6" t="s">
        <v>813</v>
      </c>
      <c r="O422" s="6" t="s">
        <v>1551</v>
      </c>
    </row>
    <row r="423" spans="1:15">
      <c r="A423" s="5" t="s">
        <v>1541</v>
      </c>
      <c r="B423" s="5" t="s">
        <v>113</v>
      </c>
      <c r="C423" s="5" t="s">
        <v>410</v>
      </c>
      <c r="D423" s="10">
        <v>3000</v>
      </c>
      <c r="E423" s="35" t="s">
        <v>528</v>
      </c>
      <c r="F423" s="35" t="s">
        <v>529</v>
      </c>
      <c r="G423" s="5" t="s">
        <v>1541</v>
      </c>
      <c r="H423" s="5" t="s">
        <v>879</v>
      </c>
      <c r="I423" s="5" t="s">
        <v>17</v>
      </c>
      <c r="J423" s="10">
        <v>3001</v>
      </c>
      <c r="K423" s="11">
        <v>1.090999960899353</v>
      </c>
      <c r="L423" s="12">
        <v>0</v>
      </c>
      <c r="M423" s="5"/>
      <c r="N423" s="5" t="s">
        <v>946</v>
      </c>
      <c r="O423" s="5" t="s">
        <v>1552</v>
      </c>
    </row>
    <row r="424" spans="1:15">
      <c r="A424" s="6" t="s">
        <v>1541</v>
      </c>
      <c r="B424" s="6" t="s">
        <v>1297</v>
      </c>
      <c r="C424" s="6" t="s">
        <v>17</v>
      </c>
      <c r="D424" s="7">
        <v>3001</v>
      </c>
      <c r="E424" s="7" t="s">
        <v>528</v>
      </c>
      <c r="F424" s="7" t="s">
        <v>529</v>
      </c>
      <c r="G424" s="6" t="s">
        <v>1541</v>
      </c>
      <c r="H424" s="6" t="s">
        <v>255</v>
      </c>
      <c r="I424" s="6" t="s">
        <v>1038</v>
      </c>
      <c r="J424" s="7">
        <v>3008</v>
      </c>
      <c r="K424" s="8">
        <v>7.3520002365112305</v>
      </c>
      <c r="L424" s="9">
        <v>0</v>
      </c>
      <c r="M424" s="6"/>
      <c r="N424" s="6" t="s">
        <v>1327</v>
      </c>
      <c r="O424" s="6" t="s">
        <v>1198</v>
      </c>
    </row>
    <row r="425" spans="1:15">
      <c r="A425" s="5" t="s">
        <v>1541</v>
      </c>
      <c r="B425" s="5" t="s">
        <v>1426</v>
      </c>
      <c r="C425" s="5" t="s">
        <v>1038</v>
      </c>
      <c r="D425" s="10">
        <v>3008</v>
      </c>
      <c r="E425" s="35" t="s">
        <v>528</v>
      </c>
      <c r="F425" s="35" t="s">
        <v>529</v>
      </c>
      <c r="G425" s="5" t="s">
        <v>1541</v>
      </c>
      <c r="H425" s="5" t="s">
        <v>1257</v>
      </c>
      <c r="I425" s="5" t="s">
        <v>45</v>
      </c>
      <c r="J425" s="10">
        <v>3017</v>
      </c>
      <c r="K425" s="11">
        <v>9.0190000534057617</v>
      </c>
      <c r="L425" s="12">
        <v>0</v>
      </c>
      <c r="M425" s="5"/>
      <c r="N425" s="5" t="s">
        <v>1553</v>
      </c>
      <c r="O425" s="5" t="s">
        <v>1554</v>
      </c>
    </row>
    <row r="426" spans="1:15">
      <c r="A426" s="6" t="s">
        <v>1555</v>
      </c>
      <c r="B426" s="6" t="s">
        <v>736</v>
      </c>
      <c r="C426" s="6" t="s">
        <v>45</v>
      </c>
      <c r="D426" s="7">
        <v>3017</v>
      </c>
      <c r="E426" s="7" t="s">
        <v>528</v>
      </c>
      <c r="F426" s="7" t="s">
        <v>529</v>
      </c>
      <c r="G426" s="6" t="s">
        <v>1555</v>
      </c>
      <c r="H426" s="6" t="s">
        <v>792</v>
      </c>
      <c r="I426" s="6" t="s">
        <v>428</v>
      </c>
      <c r="J426" s="7">
        <v>3018</v>
      </c>
      <c r="K426" s="8">
        <v>1.2029999494552612</v>
      </c>
      <c r="L426" s="9">
        <v>0</v>
      </c>
      <c r="M426" s="6"/>
      <c r="N426" s="6" t="s">
        <v>365</v>
      </c>
      <c r="O426" s="6" t="s">
        <v>1556</v>
      </c>
    </row>
    <row r="427" spans="1:15">
      <c r="A427" s="5" t="s">
        <v>1555</v>
      </c>
      <c r="B427" s="5" t="s">
        <v>63</v>
      </c>
      <c r="C427" s="5" t="s">
        <v>428</v>
      </c>
      <c r="D427" s="10">
        <v>3018</v>
      </c>
      <c r="E427" s="35" t="s">
        <v>528</v>
      </c>
      <c r="F427" s="35" t="s">
        <v>529</v>
      </c>
      <c r="G427" s="5" t="s">
        <v>1555</v>
      </c>
      <c r="H427" s="5" t="s">
        <v>1047</v>
      </c>
      <c r="I427" s="5" t="s">
        <v>247</v>
      </c>
      <c r="J427" s="10">
        <v>3022</v>
      </c>
      <c r="K427" s="11">
        <v>3.5550000667572021</v>
      </c>
      <c r="L427" s="12">
        <v>0</v>
      </c>
      <c r="M427" s="5"/>
      <c r="N427" s="5" t="s">
        <v>1389</v>
      </c>
      <c r="O427" s="5" t="s">
        <v>1557</v>
      </c>
    </row>
    <row r="428" spans="1:15">
      <c r="A428" s="6" t="s">
        <v>1555</v>
      </c>
      <c r="B428" s="6" t="s">
        <v>268</v>
      </c>
      <c r="C428" s="6" t="s">
        <v>247</v>
      </c>
      <c r="D428" s="7">
        <v>3022</v>
      </c>
      <c r="E428" s="7" t="s">
        <v>528</v>
      </c>
      <c r="F428" s="7" t="s">
        <v>529</v>
      </c>
      <c r="G428" s="6" t="s">
        <v>1555</v>
      </c>
      <c r="H428" s="6" t="s">
        <v>951</v>
      </c>
      <c r="I428" s="6" t="s">
        <v>1215</v>
      </c>
      <c r="J428" s="7">
        <v>3026</v>
      </c>
      <c r="K428" s="8">
        <v>4.6129999160766602</v>
      </c>
      <c r="L428" s="9">
        <v>0</v>
      </c>
      <c r="M428" s="6"/>
      <c r="N428" s="6" t="s">
        <v>1344</v>
      </c>
      <c r="O428" s="6" t="s">
        <v>1558</v>
      </c>
    </row>
    <row r="429" spans="1:15">
      <c r="A429" s="5" t="s">
        <v>1555</v>
      </c>
      <c r="B429" s="5" t="s">
        <v>344</v>
      </c>
      <c r="C429" s="5" t="s">
        <v>1215</v>
      </c>
      <c r="D429" s="10">
        <v>3026</v>
      </c>
      <c r="E429" s="35" t="s">
        <v>528</v>
      </c>
      <c r="F429" s="35" t="s">
        <v>529</v>
      </c>
      <c r="G429" s="5" t="s">
        <v>1555</v>
      </c>
      <c r="H429" s="5" t="s">
        <v>155</v>
      </c>
      <c r="I429" s="5" t="s">
        <v>17</v>
      </c>
      <c r="J429" s="10">
        <v>3030</v>
      </c>
      <c r="K429" s="11">
        <v>3.5499999523162842</v>
      </c>
      <c r="L429" s="12">
        <v>0</v>
      </c>
      <c r="M429" s="5"/>
      <c r="N429" s="5" t="s">
        <v>1559</v>
      </c>
      <c r="O429" s="5" t="s">
        <v>1560</v>
      </c>
    </row>
    <row r="430" spans="1:15">
      <c r="A430" s="6" t="s">
        <v>1555</v>
      </c>
      <c r="B430" s="6" t="s">
        <v>490</v>
      </c>
      <c r="C430" s="6" t="s">
        <v>17</v>
      </c>
      <c r="D430" s="7">
        <v>3030</v>
      </c>
      <c r="E430" s="7" t="s">
        <v>528</v>
      </c>
      <c r="F430" s="7" t="s">
        <v>529</v>
      </c>
      <c r="G430" s="6" t="s">
        <v>1555</v>
      </c>
      <c r="H430" s="6" t="s">
        <v>1031</v>
      </c>
      <c r="I430" s="6" t="s">
        <v>428</v>
      </c>
      <c r="J430" s="7">
        <v>3031</v>
      </c>
      <c r="K430" s="8">
        <v>1.2480000257492065</v>
      </c>
      <c r="L430" s="9">
        <v>0</v>
      </c>
      <c r="M430" s="6"/>
      <c r="N430" s="6" t="s">
        <v>1561</v>
      </c>
      <c r="O430" s="6" t="s">
        <v>1562</v>
      </c>
    </row>
    <row r="431" spans="1:15">
      <c r="A431" s="5" t="s">
        <v>1555</v>
      </c>
      <c r="B431" s="5" t="s">
        <v>944</v>
      </c>
      <c r="C431" s="5" t="s">
        <v>428</v>
      </c>
      <c r="D431" s="10">
        <v>3031</v>
      </c>
      <c r="E431" s="35" t="s">
        <v>528</v>
      </c>
      <c r="F431" s="35" t="s">
        <v>529</v>
      </c>
      <c r="G431" s="5" t="s">
        <v>1555</v>
      </c>
      <c r="H431" s="5" t="s">
        <v>983</v>
      </c>
      <c r="I431" s="5" t="s">
        <v>1563</v>
      </c>
      <c r="J431" s="10">
        <v>3047</v>
      </c>
      <c r="K431" s="11">
        <v>16.111000061035156</v>
      </c>
      <c r="L431" s="12">
        <v>0</v>
      </c>
      <c r="M431" s="5"/>
      <c r="N431" s="5" t="s">
        <v>1564</v>
      </c>
      <c r="O431" s="5" t="s">
        <v>1565</v>
      </c>
    </row>
    <row r="432" spans="1:15">
      <c r="A432" s="6" t="s">
        <v>1555</v>
      </c>
      <c r="B432" s="6" t="s">
        <v>1493</v>
      </c>
      <c r="C432" s="6" t="s">
        <v>1563</v>
      </c>
      <c r="D432" s="7">
        <v>3047</v>
      </c>
      <c r="E432" s="7" t="s">
        <v>528</v>
      </c>
      <c r="F432" s="7" t="s">
        <v>529</v>
      </c>
      <c r="G432" s="6" t="s">
        <v>1555</v>
      </c>
      <c r="H432" s="6" t="s">
        <v>546</v>
      </c>
      <c r="I432" s="6" t="s">
        <v>50</v>
      </c>
      <c r="J432" s="7">
        <v>3057</v>
      </c>
      <c r="K432" s="8">
        <v>9.1870002746582031</v>
      </c>
      <c r="L432" s="9">
        <v>0</v>
      </c>
      <c r="M432" s="6"/>
      <c r="N432" s="6" t="s">
        <v>269</v>
      </c>
      <c r="O432" s="6" t="s">
        <v>124</v>
      </c>
    </row>
    <row r="433" spans="1:15">
      <c r="A433" s="5" t="s">
        <v>1555</v>
      </c>
      <c r="B433" s="5" t="s">
        <v>1348</v>
      </c>
      <c r="C433" s="5" t="s">
        <v>50</v>
      </c>
      <c r="D433" s="10">
        <v>3057</v>
      </c>
      <c r="E433" s="35" t="s">
        <v>528</v>
      </c>
      <c r="F433" s="35" t="s">
        <v>529</v>
      </c>
      <c r="G433" s="5" t="s">
        <v>1555</v>
      </c>
      <c r="H433" s="5" t="s">
        <v>217</v>
      </c>
      <c r="I433" s="5" t="s">
        <v>17</v>
      </c>
      <c r="J433" s="10">
        <v>3066</v>
      </c>
      <c r="K433" s="11">
        <v>9.3310003280639648</v>
      </c>
      <c r="L433" s="12">
        <v>0</v>
      </c>
      <c r="M433" s="5"/>
      <c r="N433" s="5" t="s">
        <v>331</v>
      </c>
      <c r="O433" s="5" t="s">
        <v>1566</v>
      </c>
    </row>
    <row r="434" spans="1:15">
      <c r="A434" s="6" t="s">
        <v>1555</v>
      </c>
      <c r="B434" s="6" t="s">
        <v>109</v>
      </c>
      <c r="C434" s="6" t="s">
        <v>17</v>
      </c>
      <c r="D434" s="7">
        <v>3066</v>
      </c>
      <c r="E434" s="7" t="s">
        <v>528</v>
      </c>
      <c r="F434" s="7" t="s">
        <v>529</v>
      </c>
      <c r="G434" s="6" t="s">
        <v>1555</v>
      </c>
      <c r="H434" s="6" t="s">
        <v>221</v>
      </c>
      <c r="I434" s="6" t="s">
        <v>17</v>
      </c>
      <c r="J434" s="7">
        <v>3066</v>
      </c>
      <c r="K434" s="8">
        <v>0.20600000023841858</v>
      </c>
      <c r="L434" s="9">
        <v>0</v>
      </c>
      <c r="M434" s="6"/>
      <c r="N434" s="6" t="s">
        <v>1567</v>
      </c>
      <c r="O434" s="6" t="s">
        <v>1568</v>
      </c>
    </row>
    <row r="435" spans="1:15">
      <c r="A435" s="5" t="s">
        <v>1569</v>
      </c>
      <c r="B435" s="5" t="s">
        <v>1570</v>
      </c>
      <c r="C435" s="5" t="s">
        <v>45</v>
      </c>
      <c r="D435" s="10">
        <v>3066</v>
      </c>
      <c r="E435" s="35" t="s">
        <v>528</v>
      </c>
      <c r="F435" s="35" t="s">
        <v>529</v>
      </c>
      <c r="G435" s="5" t="s">
        <v>1569</v>
      </c>
      <c r="H435" s="5" t="s">
        <v>1571</v>
      </c>
      <c r="I435" s="5" t="s">
        <v>247</v>
      </c>
      <c r="J435" s="10">
        <v>3070</v>
      </c>
      <c r="K435" s="11">
        <v>3.5150001049041748</v>
      </c>
      <c r="L435" s="12">
        <v>0</v>
      </c>
      <c r="M435" s="5"/>
      <c r="N435" s="5" t="s">
        <v>1572</v>
      </c>
      <c r="O435" s="5" t="s">
        <v>265</v>
      </c>
    </row>
    <row r="436" spans="1:15">
      <c r="A436" s="6" t="s">
        <v>1569</v>
      </c>
      <c r="B436" s="6" t="s">
        <v>1573</v>
      </c>
      <c r="C436" s="6" t="s">
        <v>247</v>
      </c>
      <c r="D436" s="7">
        <v>3070</v>
      </c>
      <c r="E436" s="7" t="s">
        <v>528</v>
      </c>
      <c r="F436" s="7" t="s">
        <v>529</v>
      </c>
      <c r="G436" s="6" t="s">
        <v>1569</v>
      </c>
      <c r="H436" s="6" t="s">
        <v>1574</v>
      </c>
      <c r="I436" s="6" t="s">
        <v>17</v>
      </c>
      <c r="J436" s="7">
        <v>3074</v>
      </c>
      <c r="K436" s="8">
        <v>4.7880001068115234</v>
      </c>
      <c r="L436" s="9">
        <v>0</v>
      </c>
      <c r="M436" s="6"/>
      <c r="N436" s="6" t="s">
        <v>780</v>
      </c>
      <c r="O436" s="6" t="s">
        <v>1575</v>
      </c>
    </row>
    <row r="437" spans="1:15">
      <c r="A437" s="5" t="s">
        <v>1576</v>
      </c>
      <c r="B437" s="5" t="s">
        <v>601</v>
      </c>
      <c r="C437" s="5" t="s">
        <v>17</v>
      </c>
      <c r="D437" s="10">
        <v>3074</v>
      </c>
      <c r="E437" s="35" t="s">
        <v>528</v>
      </c>
      <c r="F437" s="35" t="s">
        <v>529</v>
      </c>
      <c r="G437" s="5" t="s">
        <v>1576</v>
      </c>
      <c r="H437" s="5" t="s">
        <v>1047</v>
      </c>
      <c r="I437" s="5" t="s">
        <v>428</v>
      </c>
      <c r="J437" s="10">
        <v>3074</v>
      </c>
      <c r="K437" s="11">
        <v>0.86319774389266968</v>
      </c>
      <c r="L437" s="12">
        <v>0</v>
      </c>
      <c r="M437" s="4" t="s">
        <v>323</v>
      </c>
      <c r="N437" s="5" t="s">
        <v>1120</v>
      </c>
      <c r="O437" s="5" t="s">
        <v>1471</v>
      </c>
    </row>
    <row r="438" spans="1:15">
      <c r="A438" s="6" t="s">
        <v>1576</v>
      </c>
      <c r="B438" s="6" t="s">
        <v>1047</v>
      </c>
      <c r="C438" s="6" t="s">
        <v>428</v>
      </c>
      <c r="D438" s="7">
        <v>3074</v>
      </c>
      <c r="E438" s="7" t="s">
        <v>528</v>
      </c>
      <c r="F438" s="7" t="s">
        <v>529</v>
      </c>
      <c r="G438" s="6" t="s">
        <v>1576</v>
      </c>
      <c r="H438" s="6" t="s">
        <v>383</v>
      </c>
      <c r="I438" s="6" t="s">
        <v>247</v>
      </c>
      <c r="J438" s="7">
        <v>3079</v>
      </c>
      <c r="K438" s="8">
        <v>4.3410000801086426</v>
      </c>
      <c r="L438" s="9">
        <v>0</v>
      </c>
      <c r="M438" s="6"/>
      <c r="N438" s="6" t="s">
        <v>725</v>
      </c>
      <c r="O438" s="6" t="s">
        <v>1577</v>
      </c>
    </row>
    <row r="439" spans="1:15">
      <c r="A439" s="5" t="s">
        <v>1576</v>
      </c>
      <c r="B439" s="5" t="s">
        <v>841</v>
      </c>
      <c r="C439" s="5" t="s">
        <v>247</v>
      </c>
      <c r="D439" s="10">
        <v>3079</v>
      </c>
      <c r="E439" s="35" t="s">
        <v>528</v>
      </c>
      <c r="F439" s="35" t="s">
        <v>529</v>
      </c>
      <c r="G439" s="5" t="s">
        <v>1576</v>
      </c>
      <c r="H439" s="5" t="s">
        <v>1394</v>
      </c>
      <c r="I439" s="5" t="s">
        <v>419</v>
      </c>
      <c r="J439" s="10">
        <v>3085</v>
      </c>
      <c r="K439" s="11">
        <v>6.4190001487731934</v>
      </c>
      <c r="L439" s="12">
        <v>0</v>
      </c>
      <c r="M439" s="5"/>
      <c r="N439" s="5" t="s">
        <v>1578</v>
      </c>
      <c r="O439" s="5" t="s">
        <v>1579</v>
      </c>
    </row>
    <row r="440" spans="1:15">
      <c r="A440" s="6" t="s">
        <v>1576</v>
      </c>
      <c r="B440" s="6" t="s">
        <v>18</v>
      </c>
      <c r="C440" s="6" t="s">
        <v>419</v>
      </c>
      <c r="D440" s="7">
        <v>3085</v>
      </c>
      <c r="E440" s="7" t="s">
        <v>528</v>
      </c>
      <c r="F440" s="7" t="s">
        <v>529</v>
      </c>
      <c r="G440" s="6" t="s">
        <v>1576</v>
      </c>
      <c r="H440" s="6" t="s">
        <v>306</v>
      </c>
      <c r="I440" s="6" t="s">
        <v>17</v>
      </c>
      <c r="J440" s="7">
        <v>3090</v>
      </c>
      <c r="K440" s="8">
        <v>5.2699999809265137</v>
      </c>
      <c r="L440" s="9">
        <v>0</v>
      </c>
      <c r="M440" s="6"/>
      <c r="N440" s="6" t="s">
        <v>40</v>
      </c>
      <c r="O440" s="6" t="s">
        <v>1580</v>
      </c>
    </row>
    <row r="441" spans="1:15">
      <c r="A441" s="5" t="s">
        <v>1576</v>
      </c>
      <c r="B441" s="5" t="s">
        <v>379</v>
      </c>
      <c r="C441" s="5" t="s">
        <v>17</v>
      </c>
      <c r="D441" s="10">
        <v>3090</v>
      </c>
      <c r="E441" s="35" t="s">
        <v>528</v>
      </c>
      <c r="F441" s="35" t="s">
        <v>529</v>
      </c>
      <c r="G441" s="5" t="s">
        <v>1576</v>
      </c>
      <c r="H441" s="5" t="s">
        <v>957</v>
      </c>
      <c r="I441" s="5" t="s">
        <v>754</v>
      </c>
      <c r="J441" s="10">
        <v>3093</v>
      </c>
      <c r="K441" s="11">
        <v>2.559999942779541</v>
      </c>
      <c r="L441" s="12">
        <v>0</v>
      </c>
      <c r="M441" s="5"/>
      <c r="N441" s="5" t="s">
        <v>1581</v>
      </c>
      <c r="O441" s="5" t="s">
        <v>813</v>
      </c>
    </row>
    <row r="442" spans="1:15">
      <c r="A442" s="6" t="s">
        <v>1576</v>
      </c>
      <c r="B442" s="6" t="s">
        <v>1115</v>
      </c>
      <c r="C442" s="6" t="s">
        <v>754</v>
      </c>
      <c r="D442" s="7">
        <v>3093</v>
      </c>
      <c r="E442" s="7" t="s">
        <v>528</v>
      </c>
      <c r="F442" s="7" t="s">
        <v>529</v>
      </c>
      <c r="G442" s="6" t="s">
        <v>1576</v>
      </c>
      <c r="H442" s="6" t="s">
        <v>530</v>
      </c>
      <c r="I442" s="6" t="s">
        <v>1582</v>
      </c>
      <c r="J442" s="7">
        <v>3102</v>
      </c>
      <c r="K442" s="8">
        <v>8.5889997482299805</v>
      </c>
      <c r="L442" s="9">
        <v>0</v>
      </c>
      <c r="M442" s="6"/>
      <c r="N442" s="6" t="s">
        <v>641</v>
      </c>
      <c r="O442" s="6" t="s">
        <v>543</v>
      </c>
    </row>
    <row r="443" spans="1:15">
      <c r="A443" s="5" t="s">
        <v>1576</v>
      </c>
      <c r="B443" s="5" t="s">
        <v>1249</v>
      </c>
      <c r="C443" s="5" t="s">
        <v>1582</v>
      </c>
      <c r="D443" s="10">
        <v>3102</v>
      </c>
      <c r="E443" s="35" t="s">
        <v>528</v>
      </c>
      <c r="F443" s="35" t="s">
        <v>529</v>
      </c>
      <c r="G443" s="5" t="s">
        <v>1576</v>
      </c>
      <c r="H443" s="5" t="s">
        <v>27</v>
      </c>
      <c r="I443" s="5" t="s">
        <v>17</v>
      </c>
      <c r="J443" s="10">
        <v>3111</v>
      </c>
      <c r="K443" s="11">
        <v>9.2589998245239258</v>
      </c>
      <c r="L443" s="12">
        <v>0</v>
      </c>
      <c r="M443" s="5"/>
      <c r="N443" s="5" t="s">
        <v>553</v>
      </c>
      <c r="O443" s="5" t="s">
        <v>1583</v>
      </c>
    </row>
    <row r="444" spans="1:15">
      <c r="A444" s="6" t="s">
        <v>1584</v>
      </c>
      <c r="B444" s="6" t="s">
        <v>601</v>
      </c>
      <c r="C444" s="6" t="s">
        <v>17</v>
      </c>
      <c r="D444" s="7">
        <v>3111</v>
      </c>
      <c r="E444" s="7" t="s">
        <v>528</v>
      </c>
      <c r="F444" s="7" t="s">
        <v>529</v>
      </c>
      <c r="G444" s="6" t="s">
        <v>1584</v>
      </c>
      <c r="H444" s="6" t="s">
        <v>152</v>
      </c>
      <c r="I444" s="6" t="s">
        <v>390</v>
      </c>
      <c r="J444" s="7">
        <v>3113</v>
      </c>
      <c r="K444" s="8">
        <v>1.9930000305175781</v>
      </c>
      <c r="L444" s="9">
        <v>0</v>
      </c>
      <c r="M444" s="6"/>
      <c r="N444" s="6" t="s">
        <v>1585</v>
      </c>
      <c r="O444" s="6" t="s">
        <v>1586</v>
      </c>
    </row>
    <row r="445" spans="1:15">
      <c r="A445" s="5" t="s">
        <v>1584</v>
      </c>
      <c r="B445" s="5" t="s">
        <v>817</v>
      </c>
      <c r="C445" s="5" t="s">
        <v>390</v>
      </c>
      <c r="D445" s="10">
        <v>3113</v>
      </c>
      <c r="E445" s="35" t="s">
        <v>528</v>
      </c>
      <c r="F445" s="35" t="s">
        <v>529</v>
      </c>
      <c r="G445" s="5" t="s">
        <v>1584</v>
      </c>
      <c r="H445" s="5" t="s">
        <v>119</v>
      </c>
      <c r="I445" s="5" t="s">
        <v>17</v>
      </c>
      <c r="J445" s="10">
        <v>3115</v>
      </c>
      <c r="K445" s="11">
        <v>2.3970000743865967</v>
      </c>
      <c r="L445" s="12">
        <v>0</v>
      </c>
      <c r="M445" s="5"/>
      <c r="N445" s="5" t="s">
        <v>642</v>
      </c>
      <c r="O445" s="5" t="s">
        <v>1587</v>
      </c>
    </row>
    <row r="446" spans="1:15">
      <c r="A446" s="6" t="s">
        <v>1584</v>
      </c>
      <c r="B446" s="6" t="s">
        <v>882</v>
      </c>
      <c r="C446" s="6" t="s">
        <v>17</v>
      </c>
      <c r="D446" s="7">
        <v>3115</v>
      </c>
      <c r="E446" s="7" t="s">
        <v>528</v>
      </c>
      <c r="F446" s="7" t="s">
        <v>529</v>
      </c>
      <c r="G446" s="6" t="s">
        <v>1584</v>
      </c>
      <c r="H446" s="6" t="s">
        <v>894</v>
      </c>
      <c r="I446" s="6" t="s">
        <v>17</v>
      </c>
      <c r="J446" s="7">
        <v>3127</v>
      </c>
      <c r="K446" s="8">
        <v>11.590999603271484</v>
      </c>
      <c r="L446" s="9">
        <v>0</v>
      </c>
      <c r="M446" s="6"/>
      <c r="N446" s="6" t="s">
        <v>1474</v>
      </c>
      <c r="O446" s="6" t="s">
        <v>1588</v>
      </c>
    </row>
    <row r="447" spans="1:15">
      <c r="A447" s="5" t="s">
        <v>1589</v>
      </c>
      <c r="B447" s="5" t="s">
        <v>1184</v>
      </c>
      <c r="C447" s="5" t="s">
        <v>17</v>
      </c>
      <c r="D447" s="10">
        <v>3127</v>
      </c>
      <c r="E447" s="35" t="s">
        <v>528</v>
      </c>
      <c r="F447" s="35" t="s">
        <v>529</v>
      </c>
      <c r="G447" s="5" t="s">
        <v>1589</v>
      </c>
      <c r="H447" s="5" t="s">
        <v>995</v>
      </c>
      <c r="I447" s="5" t="s">
        <v>905</v>
      </c>
      <c r="J447" s="10">
        <v>3139</v>
      </c>
      <c r="K447" s="11">
        <v>11.864999771118164</v>
      </c>
      <c r="L447" s="12">
        <v>0</v>
      </c>
      <c r="M447" s="5"/>
      <c r="N447" s="5" t="s">
        <v>1590</v>
      </c>
      <c r="O447" s="5" t="s">
        <v>1499</v>
      </c>
    </row>
    <row r="448" spans="1:15">
      <c r="A448" s="6" t="s">
        <v>1589</v>
      </c>
      <c r="B448" s="6" t="s">
        <v>1591</v>
      </c>
      <c r="C448" s="6" t="s">
        <v>905</v>
      </c>
      <c r="D448" s="7">
        <v>3139</v>
      </c>
      <c r="E448" s="7" t="s">
        <v>528</v>
      </c>
      <c r="F448" s="7" t="s">
        <v>529</v>
      </c>
      <c r="G448" s="6" t="s">
        <v>1589</v>
      </c>
      <c r="H448" s="6" t="s">
        <v>1093</v>
      </c>
      <c r="I448" s="6" t="s">
        <v>17</v>
      </c>
      <c r="J448" s="7">
        <v>3149</v>
      </c>
      <c r="K448" s="8">
        <v>10.567000389099121</v>
      </c>
      <c r="L448" s="9">
        <v>0</v>
      </c>
      <c r="M448" s="6"/>
      <c r="N448" s="6" t="s">
        <v>348</v>
      </c>
      <c r="O448" s="6" t="s">
        <v>1592</v>
      </c>
    </row>
    <row r="449" spans="1:15">
      <c r="A449" s="5" t="s">
        <v>1593</v>
      </c>
      <c r="B449" s="5" t="s">
        <v>1594</v>
      </c>
      <c r="C449" s="5" t="s">
        <v>17</v>
      </c>
      <c r="D449" s="10">
        <v>3149</v>
      </c>
      <c r="E449" s="35" t="s">
        <v>528</v>
      </c>
      <c r="F449" s="35" t="s">
        <v>529</v>
      </c>
      <c r="G449" s="5" t="s">
        <v>1593</v>
      </c>
      <c r="H449" s="5" t="s">
        <v>739</v>
      </c>
      <c r="I449" s="5" t="s">
        <v>1595</v>
      </c>
      <c r="J449" s="10">
        <v>3153</v>
      </c>
      <c r="K449" s="11">
        <v>3.5529999732971191</v>
      </c>
      <c r="L449" s="12">
        <v>0</v>
      </c>
      <c r="M449" s="5"/>
      <c r="N449" s="5" t="s">
        <v>658</v>
      </c>
      <c r="O449" s="5" t="s">
        <v>1596</v>
      </c>
    </row>
    <row r="450" spans="1:15">
      <c r="A450" s="6" t="s">
        <v>1593</v>
      </c>
      <c r="B450" s="6" t="s">
        <v>1047</v>
      </c>
      <c r="C450" s="6" t="s">
        <v>1595</v>
      </c>
      <c r="D450" s="7">
        <v>3153</v>
      </c>
      <c r="E450" s="7" t="s">
        <v>528</v>
      </c>
      <c r="F450" s="7" t="s">
        <v>529</v>
      </c>
      <c r="G450" s="6" t="s">
        <v>1593</v>
      </c>
      <c r="H450" s="6" t="s">
        <v>79</v>
      </c>
      <c r="I450" s="6" t="s">
        <v>29</v>
      </c>
      <c r="J450" s="7">
        <v>3187</v>
      </c>
      <c r="K450" s="8">
        <v>34.557998657226563</v>
      </c>
      <c r="L450" s="9">
        <v>0</v>
      </c>
      <c r="M450" s="6"/>
      <c r="N450" s="6" t="s">
        <v>1597</v>
      </c>
      <c r="O450" s="6" t="s">
        <v>1598</v>
      </c>
    </row>
    <row r="451" spans="1:15">
      <c r="A451" s="5" t="s">
        <v>1593</v>
      </c>
      <c r="B451" s="5" t="s">
        <v>79</v>
      </c>
      <c r="C451" s="5" t="s">
        <v>1528</v>
      </c>
      <c r="D451" s="10">
        <v>3187</v>
      </c>
      <c r="E451" s="35" t="s">
        <v>528</v>
      </c>
      <c r="F451" s="35" t="s">
        <v>529</v>
      </c>
      <c r="G451" s="5" t="s">
        <v>1593</v>
      </c>
      <c r="H451" s="5" t="s">
        <v>1012</v>
      </c>
      <c r="I451" s="5" t="s">
        <v>45</v>
      </c>
      <c r="J451" s="10">
        <v>3189</v>
      </c>
      <c r="K451" s="11">
        <v>1.1460000276565552</v>
      </c>
      <c r="L451" s="12">
        <v>0</v>
      </c>
      <c r="M451" s="5"/>
      <c r="N451" s="5" t="s">
        <v>202</v>
      </c>
      <c r="O451" s="5" t="s">
        <v>1599</v>
      </c>
    </row>
    <row r="452" spans="1:15">
      <c r="A452" s="6" t="s">
        <v>1600</v>
      </c>
      <c r="B452" s="6" t="s">
        <v>1601</v>
      </c>
      <c r="C452" s="6" t="s">
        <v>45</v>
      </c>
      <c r="D452" s="7">
        <v>3189</v>
      </c>
      <c r="E452" s="7" t="s">
        <v>528</v>
      </c>
      <c r="F452" s="7" t="s">
        <v>529</v>
      </c>
      <c r="G452" s="6" t="s">
        <v>1600</v>
      </c>
      <c r="H452" s="6" t="s">
        <v>889</v>
      </c>
      <c r="I452" s="6" t="s">
        <v>1602</v>
      </c>
      <c r="J452" s="7">
        <v>3195</v>
      </c>
      <c r="K452" s="8">
        <v>6.3210000991821289</v>
      </c>
      <c r="L452" s="9">
        <v>0</v>
      </c>
      <c r="M452" s="6"/>
      <c r="N452" s="6" t="s">
        <v>1035</v>
      </c>
      <c r="O452" s="6" t="s">
        <v>1603</v>
      </c>
    </row>
    <row r="453" spans="1:15">
      <c r="A453" s="5" t="s">
        <v>1600</v>
      </c>
      <c r="B453" s="5" t="s">
        <v>203</v>
      </c>
      <c r="C453" s="5" t="s">
        <v>1602</v>
      </c>
      <c r="D453" s="10">
        <v>3195</v>
      </c>
      <c r="E453" s="35" t="s">
        <v>528</v>
      </c>
      <c r="F453" s="35" t="s">
        <v>529</v>
      </c>
      <c r="G453" s="5" t="s">
        <v>1600</v>
      </c>
      <c r="H453" s="5" t="s">
        <v>675</v>
      </c>
      <c r="I453" s="5" t="s">
        <v>1604</v>
      </c>
      <c r="J453" s="10">
        <v>3197</v>
      </c>
      <c r="K453" s="11">
        <v>1.7380000352859497</v>
      </c>
      <c r="L453" s="12">
        <v>0</v>
      </c>
      <c r="M453" s="5"/>
      <c r="N453" s="5" t="s">
        <v>967</v>
      </c>
      <c r="O453" s="5" t="s">
        <v>1156</v>
      </c>
    </row>
    <row r="454" spans="1:15">
      <c r="A454" s="6" t="s">
        <v>1600</v>
      </c>
      <c r="B454" s="6" t="s">
        <v>204</v>
      </c>
      <c r="C454" s="6" t="s">
        <v>1605</v>
      </c>
      <c r="D454" s="7">
        <v>3197</v>
      </c>
      <c r="E454" s="7" t="s">
        <v>528</v>
      </c>
      <c r="F454" s="7" t="s">
        <v>529</v>
      </c>
      <c r="G454" s="6" t="s">
        <v>1600</v>
      </c>
      <c r="H454" s="6" t="s">
        <v>229</v>
      </c>
      <c r="I454" s="6" t="s">
        <v>1606</v>
      </c>
      <c r="J454" s="7">
        <v>3204</v>
      </c>
      <c r="K454" s="8">
        <v>7.0260000228881836</v>
      </c>
      <c r="L454" s="9">
        <v>0</v>
      </c>
      <c r="M454" s="6"/>
      <c r="N454" s="6" t="s">
        <v>1002</v>
      </c>
      <c r="O454" s="6" t="s">
        <v>1607</v>
      </c>
    </row>
    <row r="455" spans="1:15">
      <c r="A455" s="5" t="s">
        <v>1600</v>
      </c>
      <c r="B455" s="5" t="s">
        <v>833</v>
      </c>
      <c r="C455" s="5" t="s">
        <v>1606</v>
      </c>
      <c r="D455" s="10">
        <v>3204</v>
      </c>
      <c r="E455" s="35" t="s">
        <v>528</v>
      </c>
      <c r="F455" s="35" t="s">
        <v>529</v>
      </c>
      <c r="G455" s="5" t="s">
        <v>1600</v>
      </c>
      <c r="H455" s="5" t="s">
        <v>929</v>
      </c>
      <c r="I455" s="5" t="s">
        <v>17</v>
      </c>
      <c r="J455" s="10">
        <v>3211</v>
      </c>
      <c r="K455" s="11">
        <v>7.5279998779296875</v>
      </c>
      <c r="L455" s="12">
        <v>0</v>
      </c>
      <c r="M455" s="5"/>
      <c r="N455" s="5" t="s">
        <v>604</v>
      </c>
      <c r="O455" s="5" t="s">
        <v>1608</v>
      </c>
    </row>
    <row r="456" spans="1:15">
      <c r="A456" s="6" t="s">
        <v>1609</v>
      </c>
      <c r="B456" s="6" t="s">
        <v>711</v>
      </c>
      <c r="C456" s="6" t="s">
        <v>17</v>
      </c>
      <c r="D456" s="7">
        <v>3211</v>
      </c>
      <c r="E456" s="7" t="s">
        <v>528</v>
      </c>
      <c r="F456" s="7" t="s">
        <v>529</v>
      </c>
      <c r="G456" s="6" t="s">
        <v>1609</v>
      </c>
      <c r="H456" s="6" t="s">
        <v>1485</v>
      </c>
      <c r="I456" s="6" t="s">
        <v>1610</v>
      </c>
      <c r="J456" s="7">
        <v>3227</v>
      </c>
      <c r="K456" s="8">
        <v>16.301000595092773</v>
      </c>
      <c r="L456" s="9">
        <v>0</v>
      </c>
      <c r="M456" s="6"/>
      <c r="N456" s="6" t="s">
        <v>102</v>
      </c>
      <c r="O456" s="6" t="s">
        <v>281</v>
      </c>
    </row>
    <row r="457" spans="1:15">
      <c r="A457" s="5" t="s">
        <v>1609</v>
      </c>
      <c r="B457" s="5" t="s">
        <v>203</v>
      </c>
      <c r="C457" s="5" t="s">
        <v>1610</v>
      </c>
      <c r="D457" s="10">
        <v>3227</v>
      </c>
      <c r="E457" s="35" t="s">
        <v>528</v>
      </c>
      <c r="F457" s="35" t="s">
        <v>529</v>
      </c>
      <c r="G457" s="5" t="s">
        <v>1609</v>
      </c>
      <c r="H457" s="5" t="s">
        <v>204</v>
      </c>
      <c r="I457" s="5" t="s">
        <v>50</v>
      </c>
      <c r="J457" s="10">
        <v>3236</v>
      </c>
      <c r="K457" s="11">
        <v>8.7519998550415039</v>
      </c>
      <c r="L457" s="12">
        <v>0</v>
      </c>
      <c r="M457" s="5"/>
      <c r="N457" s="5" t="s">
        <v>1611</v>
      </c>
      <c r="O457" s="5" t="s">
        <v>236</v>
      </c>
    </row>
    <row r="458" spans="1:15">
      <c r="A458" s="6" t="s">
        <v>1609</v>
      </c>
      <c r="B458" s="6" t="s">
        <v>806</v>
      </c>
      <c r="C458" s="6" t="s">
        <v>50</v>
      </c>
      <c r="D458" s="7">
        <v>3236</v>
      </c>
      <c r="E458" s="7" t="s">
        <v>528</v>
      </c>
      <c r="F458" s="7" t="s">
        <v>529</v>
      </c>
      <c r="G458" s="6" t="s">
        <v>1609</v>
      </c>
      <c r="H458" s="6" t="s">
        <v>1612</v>
      </c>
      <c r="I458" s="6" t="s">
        <v>1215</v>
      </c>
      <c r="J458" s="7">
        <v>3242</v>
      </c>
      <c r="K458" s="8">
        <v>6.249000072479248</v>
      </c>
      <c r="L458" s="9">
        <v>0</v>
      </c>
      <c r="M458" s="6"/>
      <c r="N458" s="6" t="s">
        <v>233</v>
      </c>
      <c r="O458" s="6" t="s">
        <v>1613</v>
      </c>
    </row>
    <row r="459" spans="1:15">
      <c r="A459" s="5" t="s">
        <v>1609</v>
      </c>
      <c r="B459" s="5" t="s">
        <v>446</v>
      </c>
      <c r="C459" s="5" t="s">
        <v>1215</v>
      </c>
      <c r="D459" s="10">
        <v>3242</v>
      </c>
      <c r="E459" s="35" t="s">
        <v>528</v>
      </c>
      <c r="F459" s="35" t="s">
        <v>529</v>
      </c>
      <c r="G459" s="5" t="s">
        <v>1609</v>
      </c>
      <c r="H459" s="5" t="s">
        <v>449</v>
      </c>
      <c r="I459" s="5" t="s">
        <v>45</v>
      </c>
      <c r="J459" s="10">
        <v>3246</v>
      </c>
      <c r="K459" s="11">
        <v>3.6140000820159912</v>
      </c>
      <c r="L459" s="12">
        <v>0</v>
      </c>
      <c r="M459" s="5"/>
      <c r="N459" s="5" t="s">
        <v>141</v>
      </c>
      <c r="O459" s="5" t="s">
        <v>1614</v>
      </c>
    </row>
    <row r="460" spans="1:15">
      <c r="A460" s="6" t="s">
        <v>1609</v>
      </c>
      <c r="B460" s="6" t="s">
        <v>260</v>
      </c>
      <c r="C460" s="6" t="s">
        <v>45</v>
      </c>
      <c r="D460" s="7">
        <v>3246</v>
      </c>
      <c r="E460" s="7" t="s">
        <v>528</v>
      </c>
      <c r="F460" s="7" t="s">
        <v>529</v>
      </c>
      <c r="G460" s="6" t="s">
        <v>1609</v>
      </c>
      <c r="H460" s="6" t="s">
        <v>456</v>
      </c>
      <c r="I460" s="6" t="s">
        <v>1615</v>
      </c>
      <c r="J460" s="7">
        <v>3248</v>
      </c>
      <c r="K460" s="8">
        <v>2.1749999523162842</v>
      </c>
      <c r="L460" s="9">
        <v>0</v>
      </c>
      <c r="M460" s="6"/>
      <c r="N460" s="6" t="s">
        <v>694</v>
      </c>
      <c r="O460" s="6" t="s">
        <v>1616</v>
      </c>
    </row>
    <row r="461" spans="1:15">
      <c r="A461" s="5" t="s">
        <v>1609</v>
      </c>
      <c r="B461" s="5" t="s">
        <v>119</v>
      </c>
      <c r="C461" s="5" t="s">
        <v>1617</v>
      </c>
      <c r="D461" s="10">
        <v>3248</v>
      </c>
      <c r="E461" s="35" t="s">
        <v>528</v>
      </c>
      <c r="F461" s="35" t="s">
        <v>529</v>
      </c>
      <c r="G461" s="5" t="s">
        <v>1609</v>
      </c>
      <c r="H461" s="5" t="s">
        <v>76</v>
      </c>
      <c r="I461" s="5" t="s">
        <v>17</v>
      </c>
      <c r="J461" s="10">
        <v>3250</v>
      </c>
      <c r="K461" s="11">
        <v>2.0639998912811279</v>
      </c>
      <c r="L461" s="12">
        <v>0</v>
      </c>
      <c r="M461" s="5"/>
      <c r="N461" s="5" t="s">
        <v>394</v>
      </c>
      <c r="O461" s="5" t="s">
        <v>1618</v>
      </c>
    </row>
    <row r="462" spans="1:15">
      <c r="A462" s="6" t="s">
        <v>1619</v>
      </c>
      <c r="B462" s="6" t="s">
        <v>1620</v>
      </c>
      <c r="C462" s="6" t="s">
        <v>45</v>
      </c>
      <c r="D462" s="7">
        <v>3250</v>
      </c>
      <c r="E462" s="7" t="s">
        <v>528</v>
      </c>
      <c r="F462" s="7" t="s">
        <v>529</v>
      </c>
      <c r="G462" s="6" t="s">
        <v>1619</v>
      </c>
      <c r="H462" s="6" t="s">
        <v>200</v>
      </c>
      <c r="I462" s="6" t="s">
        <v>390</v>
      </c>
      <c r="J462" s="7">
        <v>3253</v>
      </c>
      <c r="K462" s="8">
        <v>2.315000057220459</v>
      </c>
      <c r="L462" s="9">
        <v>0</v>
      </c>
      <c r="M462" s="6"/>
      <c r="N462" s="6" t="s">
        <v>1621</v>
      </c>
      <c r="O462" s="6" t="s">
        <v>1622</v>
      </c>
    </row>
    <row r="463" spans="1:15">
      <c r="A463" s="5" t="s">
        <v>1619</v>
      </c>
      <c r="B463" s="5" t="s">
        <v>204</v>
      </c>
      <c r="C463" s="5" t="s">
        <v>390</v>
      </c>
      <c r="D463" s="10">
        <v>3253</v>
      </c>
      <c r="E463" s="35" t="s">
        <v>528</v>
      </c>
      <c r="F463" s="35" t="s">
        <v>529</v>
      </c>
      <c r="G463" s="5" t="s">
        <v>1619</v>
      </c>
      <c r="H463" s="5" t="s">
        <v>830</v>
      </c>
      <c r="I463" s="5" t="s">
        <v>45</v>
      </c>
      <c r="J463" s="10">
        <v>3255</v>
      </c>
      <c r="K463" s="11">
        <v>2.3420000076293945</v>
      </c>
      <c r="L463" s="12">
        <v>0</v>
      </c>
      <c r="M463" s="5"/>
      <c r="N463" s="5" t="s">
        <v>1623</v>
      </c>
      <c r="O463" s="5" t="s">
        <v>1624</v>
      </c>
    </row>
    <row r="464" spans="1:15">
      <c r="A464" s="6" t="s">
        <v>1619</v>
      </c>
      <c r="B464" s="6" t="s">
        <v>261</v>
      </c>
      <c r="C464" s="6" t="s">
        <v>45</v>
      </c>
      <c r="D464" s="7">
        <v>3255</v>
      </c>
      <c r="E464" s="7" t="s">
        <v>528</v>
      </c>
      <c r="F464" s="7" t="s">
        <v>529</v>
      </c>
      <c r="G464" s="6" t="s">
        <v>1619</v>
      </c>
      <c r="H464" s="6" t="s">
        <v>1394</v>
      </c>
      <c r="I464" s="6" t="s">
        <v>1625</v>
      </c>
      <c r="J464" s="7">
        <v>3260</v>
      </c>
      <c r="K464" s="8">
        <v>4.9050002098083496</v>
      </c>
      <c r="L464" s="9">
        <v>0</v>
      </c>
      <c r="M464" s="6"/>
      <c r="N464" s="6" t="s">
        <v>936</v>
      </c>
      <c r="O464" s="6" t="s">
        <v>1041</v>
      </c>
    </row>
    <row r="465" spans="1:15">
      <c r="A465" s="5" t="s">
        <v>1619</v>
      </c>
      <c r="B465" s="5" t="s">
        <v>80</v>
      </c>
      <c r="C465" s="5" t="s">
        <v>1625</v>
      </c>
      <c r="D465" s="10">
        <v>3260</v>
      </c>
      <c r="E465" s="35" t="s">
        <v>528</v>
      </c>
      <c r="F465" s="35" t="s">
        <v>529</v>
      </c>
      <c r="G465" s="5" t="s">
        <v>1619</v>
      </c>
      <c r="H465" s="5" t="s">
        <v>180</v>
      </c>
      <c r="I465" s="5" t="s">
        <v>45</v>
      </c>
      <c r="J465" s="10">
        <v>3264</v>
      </c>
      <c r="K465" s="11">
        <v>4.4710001945495605</v>
      </c>
      <c r="L465" s="12">
        <v>0</v>
      </c>
      <c r="M465" s="5"/>
      <c r="N465" s="5" t="s">
        <v>1626</v>
      </c>
      <c r="O465" s="5" t="s">
        <v>1627</v>
      </c>
    </row>
    <row r="466" spans="1:15">
      <c r="A466" s="6" t="s">
        <v>1628</v>
      </c>
      <c r="B466" s="6" t="s">
        <v>72</v>
      </c>
      <c r="C466" s="6" t="s">
        <v>45</v>
      </c>
      <c r="D466" s="7">
        <v>3264</v>
      </c>
      <c r="E466" s="7" t="s">
        <v>528</v>
      </c>
      <c r="F466" s="7" t="s">
        <v>529</v>
      </c>
      <c r="G466" s="6" t="s">
        <v>1628</v>
      </c>
      <c r="H466" s="6" t="s">
        <v>18</v>
      </c>
      <c r="I466" s="6" t="s">
        <v>913</v>
      </c>
      <c r="J466" s="7">
        <v>3272</v>
      </c>
      <c r="K466" s="8">
        <v>8.0229997634887695</v>
      </c>
      <c r="L466" s="9">
        <v>0</v>
      </c>
      <c r="M466" s="6"/>
      <c r="N466" s="6" t="s">
        <v>1629</v>
      </c>
      <c r="O466" s="6" t="s">
        <v>175</v>
      </c>
    </row>
    <row r="467" spans="1:15">
      <c r="A467" s="5" t="s">
        <v>1628</v>
      </c>
      <c r="B467" s="5" t="s">
        <v>180</v>
      </c>
      <c r="C467" s="5" t="s">
        <v>110</v>
      </c>
      <c r="D467" s="10">
        <v>3273</v>
      </c>
      <c r="E467" s="35" t="s">
        <v>528</v>
      </c>
      <c r="F467" s="35" t="s">
        <v>529</v>
      </c>
      <c r="G467" s="5" t="s">
        <v>1628</v>
      </c>
      <c r="H467" s="5" t="s">
        <v>238</v>
      </c>
      <c r="I467" s="5" t="s">
        <v>85</v>
      </c>
      <c r="J467" s="10">
        <v>3277</v>
      </c>
      <c r="K467" s="11">
        <v>4.6560001373291016</v>
      </c>
      <c r="L467" s="12">
        <v>0</v>
      </c>
      <c r="M467" s="5"/>
      <c r="N467" s="5" t="s">
        <v>1356</v>
      </c>
      <c r="O467" s="5" t="s">
        <v>1630</v>
      </c>
    </row>
    <row r="468" spans="1:15">
      <c r="A468" s="6" t="s">
        <v>1628</v>
      </c>
      <c r="B468" s="6" t="s">
        <v>238</v>
      </c>
      <c r="C468" s="6" t="s">
        <v>85</v>
      </c>
      <c r="D468" s="7">
        <v>3277</v>
      </c>
      <c r="E468" s="7" t="s">
        <v>528</v>
      </c>
      <c r="F468" s="7" t="s">
        <v>529</v>
      </c>
      <c r="G468" s="6" t="s">
        <v>1628</v>
      </c>
      <c r="H468" s="6" t="s">
        <v>59</v>
      </c>
      <c r="I468" s="6" t="s">
        <v>17</v>
      </c>
      <c r="J468" s="7">
        <v>3285</v>
      </c>
      <c r="K468" s="8">
        <v>7.3420000076293945</v>
      </c>
      <c r="L468" s="9">
        <v>0</v>
      </c>
      <c r="M468" s="6"/>
      <c r="N468" s="6" t="s">
        <v>1631</v>
      </c>
      <c r="O468" s="6" t="s">
        <v>1632</v>
      </c>
    </row>
    <row r="469" spans="1:15">
      <c r="A469" s="5" t="s">
        <v>1633</v>
      </c>
      <c r="B469" s="5" t="s">
        <v>1348</v>
      </c>
      <c r="C469" s="5" t="s">
        <v>17</v>
      </c>
      <c r="D469" s="10">
        <v>3285</v>
      </c>
      <c r="E469" s="35" t="s">
        <v>528</v>
      </c>
      <c r="F469" s="35" t="s">
        <v>529</v>
      </c>
      <c r="G469" s="5" t="s">
        <v>1633</v>
      </c>
      <c r="H469" s="5" t="s">
        <v>159</v>
      </c>
      <c r="I469" s="5" t="s">
        <v>1215</v>
      </c>
      <c r="J469" s="10">
        <v>3289</v>
      </c>
      <c r="K469" s="11">
        <v>4.445000171661377</v>
      </c>
      <c r="L469" s="12">
        <v>0</v>
      </c>
      <c r="M469" s="5"/>
      <c r="N469" s="5" t="s">
        <v>1634</v>
      </c>
      <c r="O469" s="5" t="s">
        <v>1635</v>
      </c>
    </row>
    <row r="470" spans="1:15">
      <c r="A470" s="6" t="s">
        <v>1633</v>
      </c>
      <c r="B470" s="6" t="s">
        <v>875</v>
      </c>
      <c r="C470" s="6" t="s">
        <v>1215</v>
      </c>
      <c r="D470" s="7">
        <v>3289</v>
      </c>
      <c r="E470" s="7" t="s">
        <v>528</v>
      </c>
      <c r="F470" s="7" t="s">
        <v>529</v>
      </c>
      <c r="G470" s="6" t="s">
        <v>1633</v>
      </c>
      <c r="H470" s="6" t="s">
        <v>1008</v>
      </c>
      <c r="I470" s="6" t="s">
        <v>17</v>
      </c>
      <c r="J470" s="7">
        <v>3294</v>
      </c>
      <c r="K470" s="8">
        <v>4.5679998397827148</v>
      </c>
      <c r="L470" s="9">
        <v>0</v>
      </c>
      <c r="M470" s="6"/>
      <c r="N470" s="6" t="s">
        <v>1252</v>
      </c>
      <c r="O470" s="6" t="s">
        <v>1636</v>
      </c>
    </row>
    <row r="471" spans="1:15">
      <c r="A471" s="5" t="s">
        <v>1637</v>
      </c>
      <c r="B471" s="5" t="s">
        <v>155</v>
      </c>
      <c r="C471" s="5" t="s">
        <v>17</v>
      </c>
      <c r="D471" s="10">
        <v>3294</v>
      </c>
      <c r="E471" s="35" t="s">
        <v>528</v>
      </c>
      <c r="F471" s="35" t="s">
        <v>529</v>
      </c>
      <c r="G471" s="5" t="s">
        <v>1637</v>
      </c>
      <c r="H471" s="5" t="s">
        <v>1638</v>
      </c>
      <c r="I471" s="5" t="s">
        <v>1602</v>
      </c>
      <c r="J471" s="10">
        <v>3301</v>
      </c>
      <c r="K471" s="11">
        <v>7.6360001564025879</v>
      </c>
      <c r="L471" s="12">
        <v>0</v>
      </c>
      <c r="M471" s="5"/>
      <c r="N471" s="5" t="s">
        <v>434</v>
      </c>
      <c r="O471" s="5" t="s">
        <v>874</v>
      </c>
    </row>
    <row r="472" spans="1:15">
      <c r="A472" s="6" t="s">
        <v>1637</v>
      </c>
      <c r="B472" s="6" t="s">
        <v>338</v>
      </c>
      <c r="C472" s="6" t="s">
        <v>1602</v>
      </c>
      <c r="D472" s="7">
        <v>3301</v>
      </c>
      <c r="E472" s="7" t="s">
        <v>528</v>
      </c>
      <c r="F472" s="7" t="s">
        <v>529</v>
      </c>
      <c r="G472" s="6" t="s">
        <v>1637</v>
      </c>
      <c r="H472" s="6" t="s">
        <v>127</v>
      </c>
      <c r="I472" s="6" t="s">
        <v>45</v>
      </c>
      <c r="J472" s="7">
        <v>3307</v>
      </c>
      <c r="K472" s="8">
        <v>6.0149998664855957</v>
      </c>
      <c r="L472" s="9">
        <v>0</v>
      </c>
      <c r="M472" s="6"/>
      <c r="N472" s="6" t="s">
        <v>1639</v>
      </c>
      <c r="O472" s="6" t="s">
        <v>1640</v>
      </c>
    </row>
    <row r="473" spans="1:15">
      <c r="A473" s="5" t="s">
        <v>1637</v>
      </c>
      <c r="B473" s="5" t="s">
        <v>518</v>
      </c>
      <c r="C473" s="5" t="s">
        <v>45</v>
      </c>
      <c r="D473" s="10">
        <v>3307</v>
      </c>
      <c r="E473" s="35" t="s">
        <v>528</v>
      </c>
      <c r="F473" s="35" t="s">
        <v>529</v>
      </c>
      <c r="G473" s="5" t="s">
        <v>1637</v>
      </c>
      <c r="H473" s="5" t="s">
        <v>665</v>
      </c>
      <c r="I473" s="5" t="s">
        <v>85</v>
      </c>
      <c r="J473" s="10">
        <v>3313</v>
      </c>
      <c r="K473" s="11">
        <v>5.875</v>
      </c>
      <c r="L473" s="12">
        <v>0</v>
      </c>
      <c r="M473" s="5"/>
      <c r="N473" s="5" t="s">
        <v>893</v>
      </c>
      <c r="O473" s="5" t="s">
        <v>1641</v>
      </c>
    </row>
    <row r="474" spans="1:15">
      <c r="A474" s="6" t="s">
        <v>1637</v>
      </c>
      <c r="B474" s="6" t="s">
        <v>596</v>
      </c>
      <c r="C474" s="6" t="s">
        <v>85</v>
      </c>
      <c r="D474" s="7">
        <v>3313</v>
      </c>
      <c r="E474" s="7" t="s">
        <v>528</v>
      </c>
      <c r="F474" s="7" t="s">
        <v>529</v>
      </c>
      <c r="G474" s="6" t="s">
        <v>1637</v>
      </c>
      <c r="H474" s="6" t="s">
        <v>564</v>
      </c>
      <c r="I474" s="6" t="s">
        <v>17</v>
      </c>
      <c r="J474" s="7">
        <v>3318</v>
      </c>
      <c r="K474" s="8">
        <v>5.0019998550415039</v>
      </c>
      <c r="L474" s="9">
        <v>0</v>
      </c>
      <c r="M474" s="6"/>
      <c r="N474" s="6" t="s">
        <v>1642</v>
      </c>
      <c r="O474" s="6" t="s">
        <v>1643</v>
      </c>
    </row>
    <row r="475" spans="1:15">
      <c r="A475" s="5" t="s">
        <v>1644</v>
      </c>
      <c r="B475" s="5" t="s">
        <v>1493</v>
      </c>
      <c r="C475" s="5" t="s">
        <v>17</v>
      </c>
      <c r="D475" s="10">
        <v>3318</v>
      </c>
      <c r="E475" s="35" t="s">
        <v>528</v>
      </c>
      <c r="F475" s="35" t="s">
        <v>529</v>
      </c>
      <c r="G475" s="5" t="s">
        <v>1644</v>
      </c>
      <c r="H475" s="5" t="s">
        <v>872</v>
      </c>
      <c r="I475" s="5" t="s">
        <v>1645</v>
      </c>
      <c r="J475" s="10">
        <v>3324</v>
      </c>
      <c r="K475" s="11">
        <v>5.8439998626708984</v>
      </c>
      <c r="L475" s="12">
        <v>0</v>
      </c>
      <c r="M475" s="5"/>
      <c r="N475" s="5" t="s">
        <v>1646</v>
      </c>
      <c r="O475" s="5" t="s">
        <v>1647</v>
      </c>
    </row>
    <row r="476" spans="1:15">
      <c r="A476" s="6" t="s">
        <v>1644</v>
      </c>
      <c r="B476" s="6" t="s">
        <v>400</v>
      </c>
      <c r="C476" s="6" t="s">
        <v>1645</v>
      </c>
      <c r="D476" s="7">
        <v>3324</v>
      </c>
      <c r="E476" s="7" t="s">
        <v>528</v>
      </c>
      <c r="F476" s="7" t="s">
        <v>529</v>
      </c>
      <c r="G476" s="6" t="s">
        <v>1644</v>
      </c>
      <c r="H476" s="6" t="s">
        <v>291</v>
      </c>
      <c r="I476" s="6" t="s">
        <v>1215</v>
      </c>
      <c r="J476" s="7">
        <v>3327</v>
      </c>
      <c r="K476" s="8">
        <v>3.0750000476837158</v>
      </c>
      <c r="L476" s="9">
        <v>0</v>
      </c>
      <c r="M476" s="6"/>
      <c r="N476" s="6" t="s">
        <v>1487</v>
      </c>
      <c r="O476" s="6" t="s">
        <v>406</v>
      </c>
    </row>
    <row r="477" spans="1:15">
      <c r="A477" s="5" t="s">
        <v>1644</v>
      </c>
      <c r="B477" s="5" t="s">
        <v>759</v>
      </c>
      <c r="C477" s="5" t="s">
        <v>1215</v>
      </c>
      <c r="D477" s="10">
        <v>3327</v>
      </c>
      <c r="E477" s="35" t="s">
        <v>528</v>
      </c>
      <c r="F477" s="35" t="s">
        <v>529</v>
      </c>
      <c r="G477" s="5" t="s">
        <v>1644</v>
      </c>
      <c r="H477" s="5" t="s">
        <v>93</v>
      </c>
      <c r="I477" s="5" t="s">
        <v>17</v>
      </c>
      <c r="J477" s="10">
        <v>3332</v>
      </c>
      <c r="K477" s="11">
        <v>4.5289998054504395</v>
      </c>
      <c r="L477" s="12">
        <v>0</v>
      </c>
      <c r="M477" s="5"/>
      <c r="N477" s="5" t="s">
        <v>1648</v>
      </c>
      <c r="O477" s="5" t="s">
        <v>1649</v>
      </c>
    </row>
    <row r="478" spans="1:15">
      <c r="A478" s="6" t="s">
        <v>1650</v>
      </c>
      <c r="B478" s="6" t="s">
        <v>702</v>
      </c>
      <c r="C478" s="6" t="s">
        <v>17</v>
      </c>
      <c r="D478" s="7">
        <v>3332</v>
      </c>
      <c r="E478" s="7" t="s">
        <v>528</v>
      </c>
      <c r="F478" s="7" t="s">
        <v>529</v>
      </c>
      <c r="G478" s="6" t="s">
        <v>1650</v>
      </c>
      <c r="H478" s="6" t="s">
        <v>48</v>
      </c>
      <c r="I478" s="6" t="s">
        <v>85</v>
      </c>
      <c r="J478" s="7">
        <v>3337</v>
      </c>
      <c r="K478" s="8">
        <v>5.5320000648498535</v>
      </c>
      <c r="L478" s="9">
        <v>0</v>
      </c>
      <c r="M478" s="6"/>
      <c r="N478" s="6" t="s">
        <v>591</v>
      </c>
      <c r="O478" s="6" t="s">
        <v>1156</v>
      </c>
    </row>
    <row r="479" spans="1:15">
      <c r="A479" s="5" t="s">
        <v>1650</v>
      </c>
      <c r="B479" s="5" t="s">
        <v>63</v>
      </c>
      <c r="C479" s="5" t="s">
        <v>85</v>
      </c>
      <c r="D479" s="10">
        <v>3337</v>
      </c>
      <c r="E479" s="35" t="s">
        <v>528</v>
      </c>
      <c r="F479" s="35" t="s">
        <v>529</v>
      </c>
      <c r="G479" s="5" t="s">
        <v>1650</v>
      </c>
      <c r="H479" s="5" t="s">
        <v>1018</v>
      </c>
      <c r="I479" s="5" t="s">
        <v>45</v>
      </c>
      <c r="J479" s="10">
        <v>3342</v>
      </c>
      <c r="K479" s="11">
        <v>5.3159999847412109</v>
      </c>
      <c r="L479" s="12">
        <v>0</v>
      </c>
      <c r="M479" s="5"/>
      <c r="N479" s="5" t="s">
        <v>1466</v>
      </c>
      <c r="O479" s="5" t="s">
        <v>1651</v>
      </c>
    </row>
    <row r="480" spans="1:15">
      <c r="A480" s="6" t="s">
        <v>1652</v>
      </c>
      <c r="B480" s="6" t="s">
        <v>1612</v>
      </c>
      <c r="C480" s="6" t="s">
        <v>45</v>
      </c>
      <c r="D480" s="7">
        <v>3342</v>
      </c>
      <c r="E480" s="7" t="s">
        <v>528</v>
      </c>
      <c r="F480" s="7" t="s">
        <v>529</v>
      </c>
      <c r="G480" s="6" t="s">
        <v>1652</v>
      </c>
      <c r="H480" s="6" t="s">
        <v>1653</v>
      </c>
      <c r="I480" s="6" t="s">
        <v>240</v>
      </c>
      <c r="J480" s="7">
        <v>3347</v>
      </c>
      <c r="K480" s="8">
        <v>4.6399998664855957</v>
      </c>
      <c r="L480" s="9">
        <v>0</v>
      </c>
      <c r="M480" s="6"/>
      <c r="N480" s="6" t="s">
        <v>543</v>
      </c>
      <c r="O480" s="6" t="s">
        <v>637</v>
      </c>
    </row>
    <row r="481" spans="1:15">
      <c r="A481" s="5" t="s">
        <v>1652</v>
      </c>
      <c r="B481" s="5" t="s">
        <v>1654</v>
      </c>
      <c r="C481" s="5" t="s">
        <v>240</v>
      </c>
      <c r="D481" s="10">
        <v>3347</v>
      </c>
      <c r="E481" s="35" t="s">
        <v>528</v>
      </c>
      <c r="F481" s="35" t="s">
        <v>529</v>
      </c>
      <c r="G481" s="5" t="s">
        <v>1652</v>
      </c>
      <c r="H481" s="5" t="s">
        <v>1288</v>
      </c>
      <c r="I481" s="5" t="s">
        <v>45</v>
      </c>
      <c r="J481" s="10">
        <v>3352</v>
      </c>
      <c r="K481" s="11">
        <v>4.5890002250671387</v>
      </c>
      <c r="L481" s="12">
        <v>0</v>
      </c>
      <c r="M481" s="5"/>
      <c r="N481" s="5" t="s">
        <v>1655</v>
      </c>
      <c r="O481" s="5" t="s">
        <v>1656</v>
      </c>
    </row>
    <row r="482" spans="1:15">
      <c r="A482" s="6" t="s">
        <v>1657</v>
      </c>
      <c r="B482" s="6" t="s">
        <v>430</v>
      </c>
      <c r="C482" s="6" t="s">
        <v>45</v>
      </c>
      <c r="D482" s="7">
        <v>3352</v>
      </c>
      <c r="E482" s="7" t="s">
        <v>528</v>
      </c>
      <c r="F482" s="7" t="s">
        <v>529</v>
      </c>
      <c r="G482" s="6" t="s">
        <v>1657</v>
      </c>
      <c r="H482" s="6" t="s">
        <v>214</v>
      </c>
      <c r="I482" s="6" t="s">
        <v>1658</v>
      </c>
      <c r="J482" s="7">
        <v>3358</v>
      </c>
      <c r="K482" s="8">
        <v>6.0289998054504395</v>
      </c>
      <c r="L482" s="9">
        <v>0</v>
      </c>
      <c r="M482" s="6"/>
      <c r="N482" s="6" t="s">
        <v>1331</v>
      </c>
      <c r="O482" s="6" t="s">
        <v>1659</v>
      </c>
    </row>
    <row r="483" spans="1:15">
      <c r="A483" s="5" t="s">
        <v>1657</v>
      </c>
      <c r="B483" s="5" t="s">
        <v>759</v>
      </c>
      <c r="C483" s="5" t="s">
        <v>1658</v>
      </c>
      <c r="D483" s="10">
        <v>3358</v>
      </c>
      <c r="E483" s="35" t="s">
        <v>528</v>
      </c>
      <c r="F483" s="35" t="s">
        <v>529</v>
      </c>
      <c r="G483" s="5" t="s">
        <v>1657</v>
      </c>
      <c r="H483" s="5" t="s">
        <v>819</v>
      </c>
      <c r="I483" s="5" t="s">
        <v>1660</v>
      </c>
      <c r="J483" s="10">
        <v>3367</v>
      </c>
      <c r="K483" s="11">
        <v>9.0970001220703125</v>
      </c>
      <c r="L483" s="12">
        <v>0</v>
      </c>
      <c r="M483" s="5"/>
      <c r="N483" s="5" t="s">
        <v>1545</v>
      </c>
      <c r="O483" s="5" t="s">
        <v>517</v>
      </c>
    </row>
    <row r="484" spans="1:15">
      <c r="A484" s="6" t="s">
        <v>1657</v>
      </c>
      <c r="B484" s="6" t="s">
        <v>113</v>
      </c>
      <c r="C484" s="6" t="s">
        <v>1660</v>
      </c>
      <c r="D484" s="7">
        <v>3367</v>
      </c>
      <c r="E484" s="7" t="s">
        <v>528</v>
      </c>
      <c r="F484" s="7" t="s">
        <v>529</v>
      </c>
      <c r="G484" s="6" t="s">
        <v>1657</v>
      </c>
      <c r="H484" s="6" t="s">
        <v>630</v>
      </c>
      <c r="I484" s="6" t="s">
        <v>1661</v>
      </c>
      <c r="J484" s="7">
        <v>3375</v>
      </c>
      <c r="K484" s="8">
        <v>8.0570001602172852</v>
      </c>
      <c r="L484" s="9">
        <v>0</v>
      </c>
      <c r="M484" s="6"/>
      <c r="N484" s="6" t="s">
        <v>1662</v>
      </c>
      <c r="O484" s="6" t="s">
        <v>1663</v>
      </c>
    </row>
    <row r="485" spans="1:15">
      <c r="A485" s="5" t="s">
        <v>1657</v>
      </c>
      <c r="B485" s="5" t="s">
        <v>33</v>
      </c>
      <c r="C485" s="5" t="s">
        <v>1661</v>
      </c>
      <c r="D485" s="10">
        <v>3375</v>
      </c>
      <c r="E485" s="35" t="s">
        <v>528</v>
      </c>
      <c r="F485" s="35" t="s">
        <v>529</v>
      </c>
      <c r="G485" s="5" t="s">
        <v>1657</v>
      </c>
      <c r="H485" s="5" t="s">
        <v>1536</v>
      </c>
      <c r="I485" s="5" t="s">
        <v>1660</v>
      </c>
      <c r="J485" s="10">
        <v>3381</v>
      </c>
      <c r="K485" s="11">
        <v>6.564000129699707</v>
      </c>
      <c r="L485" s="12">
        <v>0</v>
      </c>
      <c r="M485" s="5"/>
      <c r="N485" s="5" t="s">
        <v>178</v>
      </c>
      <c r="O485" s="5" t="s">
        <v>1524</v>
      </c>
    </row>
    <row r="486" spans="1:15">
      <c r="A486" s="6" t="s">
        <v>1657</v>
      </c>
      <c r="B486" s="6" t="s">
        <v>1230</v>
      </c>
      <c r="C486" s="6" t="s">
        <v>1660</v>
      </c>
      <c r="D486" s="7">
        <v>3381</v>
      </c>
      <c r="E486" s="7" t="s">
        <v>528</v>
      </c>
      <c r="F486" s="7" t="s">
        <v>529</v>
      </c>
      <c r="G486" s="6" t="s">
        <v>1657</v>
      </c>
      <c r="H486" s="6" t="s">
        <v>682</v>
      </c>
      <c r="I486" s="6" t="s">
        <v>17</v>
      </c>
      <c r="J486" s="7">
        <v>3393</v>
      </c>
      <c r="K486" s="8">
        <v>12.059000015258789</v>
      </c>
      <c r="L486" s="9">
        <v>0</v>
      </c>
      <c r="M486" s="6"/>
      <c r="N486" s="6" t="s">
        <v>1664</v>
      </c>
      <c r="O486" s="6" t="s">
        <v>1665</v>
      </c>
    </row>
    <row r="487" spans="1:15">
      <c r="A487" s="5" t="s">
        <v>1666</v>
      </c>
      <c r="B487" s="5" t="s">
        <v>736</v>
      </c>
      <c r="C487" s="5" t="s">
        <v>17</v>
      </c>
      <c r="D487" s="10">
        <v>3393</v>
      </c>
      <c r="E487" s="35" t="s">
        <v>528</v>
      </c>
      <c r="F487" s="35" t="s">
        <v>529</v>
      </c>
      <c r="G487" s="5" t="s">
        <v>1666</v>
      </c>
      <c r="H487" s="5" t="s">
        <v>792</v>
      </c>
      <c r="I487" s="5" t="s">
        <v>1101</v>
      </c>
      <c r="J487" s="10">
        <v>3394</v>
      </c>
      <c r="K487" s="11">
        <v>0.82400000095367432</v>
      </c>
      <c r="L487" s="12">
        <v>0</v>
      </c>
      <c r="M487" s="5"/>
      <c r="N487" s="5" t="s">
        <v>1228</v>
      </c>
      <c r="O487" s="5" t="s">
        <v>440</v>
      </c>
    </row>
    <row r="488" spans="1:15">
      <c r="A488" s="6" t="s">
        <v>1666</v>
      </c>
      <c r="B488" s="6" t="s">
        <v>792</v>
      </c>
      <c r="C488" s="6" t="s">
        <v>1101</v>
      </c>
      <c r="D488" s="7">
        <v>3394</v>
      </c>
      <c r="E488" s="7" t="s">
        <v>528</v>
      </c>
      <c r="F488" s="7" t="s">
        <v>529</v>
      </c>
      <c r="G488" s="6" t="s">
        <v>1666</v>
      </c>
      <c r="H488" s="6" t="s">
        <v>1265</v>
      </c>
      <c r="I488" s="6" t="s">
        <v>160</v>
      </c>
      <c r="J488" s="7">
        <v>3396</v>
      </c>
      <c r="K488" s="8">
        <v>1.3609999418258667</v>
      </c>
      <c r="L488" s="9">
        <v>0</v>
      </c>
      <c r="M488" s="6"/>
      <c r="N488" s="6" t="s">
        <v>30</v>
      </c>
      <c r="O488" s="6" t="s">
        <v>1667</v>
      </c>
    </row>
    <row r="489" spans="1:15">
      <c r="A489" s="5" t="s">
        <v>1666</v>
      </c>
      <c r="B489" s="5" t="s">
        <v>951</v>
      </c>
      <c r="C489" s="5" t="s">
        <v>160</v>
      </c>
      <c r="D489" s="10">
        <v>3396</v>
      </c>
      <c r="E489" s="35" t="s">
        <v>528</v>
      </c>
      <c r="F489" s="35" t="s">
        <v>529</v>
      </c>
      <c r="G489" s="5" t="s">
        <v>1666</v>
      </c>
      <c r="H489" s="5" t="s">
        <v>1083</v>
      </c>
      <c r="I489" s="5" t="s">
        <v>45</v>
      </c>
      <c r="J489" s="10">
        <v>3398</v>
      </c>
      <c r="K489" s="11">
        <v>2.0499999523162842</v>
      </c>
      <c r="L489" s="12">
        <v>0</v>
      </c>
      <c r="M489" s="5"/>
      <c r="N489" s="5" t="s">
        <v>77</v>
      </c>
      <c r="O489" s="5"/>
    </row>
    <row r="490" spans="1:15" ht="15">
      <c r="A490" s="5"/>
      <c r="B490" s="5"/>
      <c r="C490" s="5"/>
      <c r="D490" s="5"/>
      <c r="E490" s="5"/>
      <c r="F490" s="5"/>
      <c r="G490" s="5"/>
      <c r="H490" s="5"/>
      <c r="I490" s="75" t="s">
        <v>520</v>
      </c>
      <c r="J490" s="76"/>
      <c r="K490" s="13">
        <v>2798.5361992716789</v>
      </c>
      <c r="L490" s="14">
        <v>0</v>
      </c>
      <c r="M490" s="5"/>
      <c r="N490" s="15" t="s">
        <v>1668</v>
      </c>
      <c r="O490" s="15" t="s">
        <v>1669</v>
      </c>
    </row>
    <row r="491" spans="1:15" ht="15">
      <c r="A491" s="5"/>
      <c r="B491" s="5"/>
      <c r="C491" s="5"/>
      <c r="D491" s="5"/>
      <c r="E491" s="5"/>
      <c r="F491" s="5"/>
      <c r="G491" s="5"/>
      <c r="H491" s="5"/>
      <c r="I491" s="75" t="s">
        <v>523</v>
      </c>
      <c r="J491" s="76"/>
      <c r="K491" s="13">
        <v>2798.5361992716789</v>
      </c>
      <c r="L491" s="14">
        <v>0</v>
      </c>
      <c r="M491" s="5"/>
      <c r="N491" s="16" t="s">
        <v>1668</v>
      </c>
      <c r="O491" s="16" t="s">
        <v>1669</v>
      </c>
    </row>
    <row r="492" spans="1:15" ht="15">
      <c r="A492" s="5"/>
      <c r="B492" s="5"/>
      <c r="C492" s="5"/>
      <c r="D492" s="5"/>
      <c r="E492" s="5"/>
      <c r="F492" s="5"/>
      <c r="G492" s="5"/>
      <c r="H492" s="5"/>
      <c r="I492" s="75" t="s">
        <v>524</v>
      </c>
      <c r="J492" s="76"/>
      <c r="K492" s="13">
        <v>2798.5361992716789</v>
      </c>
      <c r="L492" s="14">
        <v>0</v>
      </c>
      <c r="M492" s="5"/>
      <c r="N492" s="16" t="s">
        <v>1668</v>
      </c>
      <c r="O492" s="16" t="s">
        <v>1669</v>
      </c>
    </row>
  </sheetData>
  <mergeCells count="3">
    <mergeCell ref="I492:J492"/>
    <mergeCell ref="I490:J490"/>
    <mergeCell ref="I491:J491"/>
  </mergeCells>
  <pageMargins left="0.39370078740157477" right="0.39370078740157477" top="0.89370078740157466" bottom="0.89370078740157466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7"/>
  <sheetViews>
    <sheetView topLeftCell="B1" workbookViewId="0">
      <selection activeCell="T24" sqref="T24"/>
    </sheetView>
  </sheetViews>
  <sheetFormatPr defaultColWidth="9.125" defaultRowHeight="14.25"/>
  <cols>
    <col min="1" max="1" width="11.125" style="41" customWidth="1"/>
    <col min="2" max="2" width="10.125" style="45" customWidth="1"/>
    <col min="3" max="3" width="29.5" style="17" bestFit="1" customWidth="1"/>
    <col min="4" max="6" width="16.125" style="17" customWidth="1"/>
    <col min="7" max="7" width="11.625" style="41" customWidth="1"/>
    <col min="8" max="8" width="9.625" style="45" customWidth="1"/>
    <col min="9" max="9" width="36.125" style="17" customWidth="1"/>
    <col min="10" max="10" width="16.125" style="53" customWidth="1"/>
    <col min="11" max="11" width="10.75" style="49" customWidth="1"/>
    <col min="12" max="13" width="16.125" style="17" customWidth="1"/>
    <col min="14" max="14" width="9.125" style="41"/>
    <col min="15" max="15" width="9.125" style="45"/>
    <col min="16" max="16" width="9.125" style="41"/>
    <col min="17" max="17" width="9.125" style="45"/>
    <col min="18" max="18" width="9.125" style="61"/>
    <col min="19" max="20" width="13.5" style="65" bestFit="1" customWidth="1"/>
    <col min="21" max="16384" width="9.125" style="17"/>
  </cols>
  <sheetData>
    <row r="1" spans="1:28">
      <c r="A1" s="38" t="s">
        <v>1700</v>
      </c>
      <c r="B1" s="42" t="s">
        <v>1701</v>
      </c>
      <c r="C1" s="36" t="s">
        <v>1702</v>
      </c>
      <c r="D1" s="37" t="s">
        <v>1703</v>
      </c>
      <c r="E1" s="37" t="s">
        <v>1704</v>
      </c>
      <c r="F1" s="37" t="s">
        <v>1705</v>
      </c>
      <c r="G1" s="38" t="s">
        <v>1706</v>
      </c>
      <c r="H1" s="62" t="s">
        <v>1718</v>
      </c>
      <c r="I1" s="36" t="s">
        <v>1707</v>
      </c>
      <c r="J1" s="50" t="s">
        <v>1708</v>
      </c>
      <c r="K1" s="46" t="s">
        <v>9</v>
      </c>
      <c r="L1" s="36" t="s">
        <v>1709</v>
      </c>
      <c r="M1" s="36" t="s">
        <v>1710</v>
      </c>
      <c r="N1" s="54" t="s">
        <v>1711</v>
      </c>
      <c r="O1" s="56" t="s">
        <v>1712</v>
      </c>
      <c r="P1" s="54" t="s">
        <v>1713</v>
      </c>
      <c r="Q1" s="57" t="s">
        <v>1714</v>
      </c>
      <c r="R1" s="59" t="s">
        <v>1715</v>
      </c>
      <c r="S1" s="63" t="s">
        <v>1716</v>
      </c>
      <c r="T1" s="63" t="s">
        <v>1717</v>
      </c>
      <c r="U1" s="66" t="s">
        <v>1721</v>
      </c>
      <c r="V1" s="66" t="s">
        <v>1722</v>
      </c>
      <c r="W1" s="66" t="s">
        <v>1723</v>
      </c>
      <c r="X1" s="66" t="s">
        <v>1719</v>
      </c>
      <c r="Y1" s="66" t="s">
        <v>1724</v>
      </c>
      <c r="Z1" s="66" t="s">
        <v>1725</v>
      </c>
      <c r="AA1" s="66" t="s">
        <v>1726</v>
      </c>
      <c r="AB1" s="66" t="s">
        <v>1720</v>
      </c>
    </row>
    <row r="2" spans="1:28">
      <c r="A2" s="39" t="s">
        <v>1670</v>
      </c>
      <c r="B2" s="43" t="s">
        <v>736</v>
      </c>
      <c r="C2" s="26" t="s">
        <v>45</v>
      </c>
      <c r="D2" s="29">
        <v>3398</v>
      </c>
      <c r="E2" s="29" t="s">
        <v>528</v>
      </c>
      <c r="F2" s="29" t="s">
        <v>529</v>
      </c>
      <c r="G2" s="39" t="s">
        <v>1670</v>
      </c>
      <c r="H2" s="43" t="s">
        <v>68</v>
      </c>
      <c r="I2" s="26" t="s">
        <v>45</v>
      </c>
      <c r="J2" s="51">
        <v>3417</v>
      </c>
      <c r="K2" s="47">
        <v>19.488000869750977</v>
      </c>
      <c r="L2" s="26" t="s">
        <v>1671</v>
      </c>
      <c r="M2" s="26" t="s">
        <v>1672</v>
      </c>
      <c r="N2" s="55">
        <f>DATEVALUE(Table1[[#This Row],[lahtopaiva]])</f>
        <v>45664</v>
      </c>
      <c r="O2" s="44">
        <f>TIMEVALUE(Table1[[#This Row],[lahtoaika]])</f>
        <v>0.40347222222222223</v>
      </c>
      <c r="P2" s="55">
        <f>DATEVALUE(Table1[[#This Row],[paluupaiva]])</f>
        <v>45664</v>
      </c>
      <c r="Q2" s="58">
        <f>TIMEVALUE(Table1[[#This Row],[paluuaika]])</f>
        <v>0.42777777777777781</v>
      </c>
      <c r="R2" s="60">
        <f>Table1[[#This Row],[lpvm]]</f>
        <v>45664</v>
      </c>
      <c r="S2" s="64">
        <f>Table1[[#This Row],[lpvm]]+Table1[[#This Row],[laika]]</f>
        <v>45664.40347222222</v>
      </c>
      <c r="T2" s="64">
        <f>Table1[[#This Row],[ppvm]]+Table1[[#This Row],[paika]]</f>
        <v>45664.427777777775</v>
      </c>
      <c r="U2" s="19">
        <v>0</v>
      </c>
      <c r="V2" s="19">
        <v>35</v>
      </c>
      <c r="W2" s="19">
        <v>8</v>
      </c>
      <c r="X2" s="19">
        <f>Table1[[#This Row],[ajotunnit]]*1 +Table1[[#This Row],[ajominuutit]]/60</f>
        <v>0.58333333333333337</v>
      </c>
      <c r="Y2" s="19">
        <v>23</v>
      </c>
      <c r="Z2" s="19">
        <v>6</v>
      </c>
      <c r="AA2" s="19">
        <v>11</v>
      </c>
      <c r="AB2" s="19">
        <f>Table1[[#This Row],[ptunnit]]+Table1[[#This Row],[pminuutit]]/60</f>
        <v>23.1</v>
      </c>
    </row>
    <row r="3" spans="1:28">
      <c r="A3" s="40" t="s">
        <v>1673</v>
      </c>
      <c r="B3" s="44" t="s">
        <v>437</v>
      </c>
      <c r="C3" s="19" t="s">
        <v>45</v>
      </c>
      <c r="D3" s="25">
        <v>3417</v>
      </c>
      <c r="E3" s="19" t="s">
        <v>528</v>
      </c>
      <c r="F3" s="19" t="s">
        <v>529</v>
      </c>
      <c r="G3" s="40" t="s">
        <v>1673</v>
      </c>
      <c r="H3" s="44" t="s">
        <v>600</v>
      </c>
      <c r="I3" s="19" t="s">
        <v>1674</v>
      </c>
      <c r="J3" s="52">
        <v>3422</v>
      </c>
      <c r="K3" s="48">
        <v>4.5089998245239258</v>
      </c>
      <c r="L3" s="19" t="s">
        <v>636</v>
      </c>
      <c r="M3" s="19" t="s">
        <v>1675</v>
      </c>
      <c r="N3" s="55">
        <f>DATEVALUE(Table1[[#This Row],[lahtopaiva]])</f>
        <v>45665</v>
      </c>
      <c r="O3" s="44">
        <f>TIMEVALUE(Table1[[#This Row],[lahtoaika]])</f>
        <v>0.39027777777777778</v>
      </c>
      <c r="P3" s="55">
        <f>DATEVALUE(Table1[[#This Row],[paluupaiva]])</f>
        <v>45665</v>
      </c>
      <c r="Q3" s="58">
        <f>TIMEVALUE(Table1[[#This Row],[paluuaika]])</f>
        <v>0.3972222222222222</v>
      </c>
      <c r="R3" s="60">
        <f>Table1[[#This Row],[lpvm]]</f>
        <v>45665</v>
      </c>
      <c r="S3" s="64">
        <f>Table1[[#This Row],[lpvm]]+Table1[[#This Row],[laika]]</f>
        <v>45665.390277777777</v>
      </c>
      <c r="T3" s="64">
        <f>Table1[[#This Row],[ppvm]]+Table1[[#This Row],[paika]]</f>
        <v>45665.397222222222</v>
      </c>
      <c r="U3" s="19">
        <v>0</v>
      </c>
      <c r="V3" s="19">
        <v>10</v>
      </c>
      <c r="W3" s="19">
        <v>24</v>
      </c>
      <c r="X3" s="19">
        <f>Table1[[#This Row],[ajotunnit]]*1 +Table1[[#This Row],[ajominuutit]]/60</f>
        <v>0.16666666666666666</v>
      </c>
      <c r="Y3" s="19">
        <v>0</v>
      </c>
      <c r="Z3" s="19">
        <v>2</v>
      </c>
      <c r="AA3" s="19">
        <v>41</v>
      </c>
      <c r="AB3" s="19">
        <f>Table1[[#This Row],[ptunnit]]+Table1[[#This Row],[pminuutit]]/60</f>
        <v>3.3333333333333333E-2</v>
      </c>
    </row>
    <row r="4" spans="1:28">
      <c r="A4" s="39" t="s">
        <v>1673</v>
      </c>
      <c r="B4" s="43" t="s">
        <v>931</v>
      </c>
      <c r="C4" s="26" t="s">
        <v>1674</v>
      </c>
      <c r="D4" s="29">
        <v>3422</v>
      </c>
      <c r="E4" s="29" t="s">
        <v>528</v>
      </c>
      <c r="F4" s="29" t="s">
        <v>529</v>
      </c>
      <c r="G4" s="39" t="s">
        <v>1673</v>
      </c>
      <c r="H4" s="43" t="s">
        <v>48</v>
      </c>
      <c r="I4" s="26" t="s">
        <v>17</v>
      </c>
      <c r="J4" s="51">
        <v>3426</v>
      </c>
      <c r="K4" s="47">
        <v>4.6750001907348633</v>
      </c>
      <c r="L4" s="26" t="s">
        <v>772</v>
      </c>
      <c r="M4" s="26" t="s">
        <v>1676</v>
      </c>
      <c r="N4" s="55">
        <f>DATEVALUE(Table1[[#This Row],[lahtopaiva]])</f>
        <v>45665</v>
      </c>
      <c r="O4" s="44">
        <f>TIMEVALUE(Table1[[#This Row],[lahtoaika]])</f>
        <v>0.39930555555555558</v>
      </c>
      <c r="P4" s="55">
        <f>DATEVALUE(Table1[[#This Row],[paluupaiva]])</f>
        <v>45665</v>
      </c>
      <c r="Q4" s="58">
        <f>TIMEVALUE(Table1[[#This Row],[paluuaika]])</f>
        <v>0.40763888888888888</v>
      </c>
      <c r="R4" s="60">
        <f>Table1[[#This Row],[lpvm]]</f>
        <v>45665</v>
      </c>
      <c r="S4" s="64">
        <f>Table1[[#This Row],[lpvm]]+Table1[[#This Row],[laika]]</f>
        <v>45665.399305555555</v>
      </c>
      <c r="T4" s="64">
        <f>Table1[[#This Row],[ppvm]]+Table1[[#This Row],[paika]]</f>
        <v>45665.407638888886</v>
      </c>
      <c r="U4" s="19">
        <v>0</v>
      </c>
      <c r="V4" s="19">
        <v>12</v>
      </c>
      <c r="W4" s="19">
        <v>10</v>
      </c>
      <c r="X4" s="19">
        <f>Table1[[#This Row],[ajotunnit]]*1 +Table1[[#This Row],[ajominuutit]]/60</f>
        <v>0.2</v>
      </c>
      <c r="Y4" s="19">
        <v>24</v>
      </c>
      <c r="Z4" s="19">
        <v>24</v>
      </c>
      <c r="AA4" s="19">
        <v>44</v>
      </c>
      <c r="AB4" s="19">
        <f>Table1[[#This Row],[ptunnit]]+Table1[[#This Row],[pminuutit]]/60</f>
        <v>24.4</v>
      </c>
    </row>
    <row r="5" spans="1:28">
      <c r="A5" s="40" t="s">
        <v>1677</v>
      </c>
      <c r="B5" s="44" t="s">
        <v>268</v>
      </c>
      <c r="C5" s="19" t="s">
        <v>17</v>
      </c>
      <c r="D5" s="25">
        <v>3426</v>
      </c>
      <c r="E5" s="19" t="s">
        <v>528</v>
      </c>
      <c r="F5" s="19" t="s">
        <v>529</v>
      </c>
      <c r="G5" s="40" t="s">
        <v>1677</v>
      </c>
      <c r="H5" s="44" t="s">
        <v>105</v>
      </c>
      <c r="I5" s="19" t="s">
        <v>1582</v>
      </c>
      <c r="J5" s="52">
        <v>3436</v>
      </c>
      <c r="K5" s="48">
        <v>9.7860002517700195</v>
      </c>
      <c r="L5" s="19" t="s">
        <v>223</v>
      </c>
      <c r="M5" s="19" t="s">
        <v>1678</v>
      </c>
      <c r="N5" s="55">
        <f>DATEVALUE(Table1[[#This Row],[lahtopaiva]])</f>
        <v>45666</v>
      </c>
      <c r="O5" s="44">
        <f>TIMEVALUE(Table1[[#This Row],[lahtoaika]])</f>
        <v>0.42499999999999999</v>
      </c>
      <c r="P5" s="55">
        <f>DATEVALUE(Table1[[#This Row],[paluupaiva]])</f>
        <v>45666</v>
      </c>
      <c r="Q5" s="58">
        <f>TIMEVALUE(Table1[[#This Row],[paluuaika]])</f>
        <v>0.43402777777777773</v>
      </c>
      <c r="R5" s="60">
        <f>Table1[[#This Row],[lpvm]]</f>
        <v>45666</v>
      </c>
      <c r="S5" s="64">
        <f>Table1[[#This Row],[lpvm]]+Table1[[#This Row],[laika]]</f>
        <v>45666.425000000003</v>
      </c>
      <c r="T5" s="64">
        <f>Table1[[#This Row],[ppvm]]+Table1[[#This Row],[paika]]</f>
        <v>45666.434027777781</v>
      </c>
      <c r="U5" s="19">
        <v>0</v>
      </c>
      <c r="V5" s="19">
        <v>13</v>
      </c>
      <c r="W5" s="19">
        <v>10</v>
      </c>
      <c r="X5" s="19">
        <f>Table1[[#This Row],[ajotunnit]]*1 +Table1[[#This Row],[ajominuutit]]/60</f>
        <v>0.21666666666666667</v>
      </c>
      <c r="Y5" s="19">
        <v>0</v>
      </c>
      <c r="Z5" s="19">
        <v>2</v>
      </c>
      <c r="AA5" s="19">
        <v>0</v>
      </c>
      <c r="AB5" s="19">
        <f>Table1[[#This Row],[ptunnit]]+Table1[[#This Row],[pminuutit]]/60</f>
        <v>3.3333333333333333E-2</v>
      </c>
    </row>
    <row r="6" spans="1:28">
      <c r="A6" s="39" t="s">
        <v>1677</v>
      </c>
      <c r="B6" s="43" t="s">
        <v>1394</v>
      </c>
      <c r="C6" s="26" t="s">
        <v>1289</v>
      </c>
      <c r="D6" s="29">
        <v>3436</v>
      </c>
      <c r="E6" s="29" t="s">
        <v>528</v>
      </c>
      <c r="F6" s="29" t="s">
        <v>529</v>
      </c>
      <c r="G6" s="39" t="s">
        <v>1677</v>
      </c>
      <c r="H6" s="43" t="s">
        <v>156</v>
      </c>
      <c r="I6" s="26" t="s">
        <v>17</v>
      </c>
      <c r="J6" s="51">
        <v>3446</v>
      </c>
      <c r="K6" s="47">
        <v>9.3529996871948242</v>
      </c>
      <c r="L6" s="26" t="s">
        <v>1679</v>
      </c>
      <c r="M6" s="26" t="s">
        <v>1680</v>
      </c>
      <c r="N6" s="55">
        <f>DATEVALUE(Table1[[#This Row],[lahtopaiva]])</f>
        <v>45666</v>
      </c>
      <c r="O6" s="44">
        <f>TIMEVALUE(Table1[[#This Row],[lahtoaika]])</f>
        <v>0.43541666666666662</v>
      </c>
      <c r="P6" s="55">
        <f>DATEVALUE(Table1[[#This Row],[paluupaiva]])</f>
        <v>45666</v>
      </c>
      <c r="Q6" s="58">
        <f>TIMEVALUE(Table1[[#This Row],[paluuaika]])</f>
        <v>0.44513888888888892</v>
      </c>
      <c r="R6" s="60">
        <f>Table1[[#This Row],[lpvm]]</f>
        <v>45666</v>
      </c>
      <c r="S6" s="64">
        <f>Table1[[#This Row],[lpvm]]+Table1[[#This Row],[laika]]</f>
        <v>45666.435416666667</v>
      </c>
      <c r="T6" s="64">
        <f>Table1[[#This Row],[ppvm]]+Table1[[#This Row],[paika]]</f>
        <v>45666.445138888892</v>
      </c>
      <c r="U6" s="19">
        <v>0</v>
      </c>
      <c r="V6" s="19">
        <v>13</v>
      </c>
      <c r="W6" s="19">
        <v>21</v>
      </c>
      <c r="X6" s="19">
        <f>Table1[[#This Row],[ajotunnit]]*1 +Table1[[#This Row],[ajominuutit]]/60</f>
        <v>0.21666666666666667</v>
      </c>
      <c r="Y6" s="19">
        <v>0</v>
      </c>
      <c r="Z6" s="19">
        <v>38</v>
      </c>
      <c r="AA6" s="19">
        <v>33</v>
      </c>
      <c r="AB6" s="19">
        <f>Table1[[#This Row],[ptunnit]]+Table1[[#This Row],[pminuutit]]/60</f>
        <v>0.6333333333333333</v>
      </c>
    </row>
    <row r="7" spans="1:28">
      <c r="A7" s="40" t="s">
        <v>1677</v>
      </c>
      <c r="B7" s="44" t="s">
        <v>474</v>
      </c>
      <c r="C7" s="19" t="s">
        <v>17</v>
      </c>
      <c r="D7" s="25">
        <v>3446</v>
      </c>
      <c r="E7" s="19" t="s">
        <v>528</v>
      </c>
      <c r="F7" s="19" t="s">
        <v>529</v>
      </c>
      <c r="G7" s="40" t="s">
        <v>1677</v>
      </c>
      <c r="H7" s="44" t="s">
        <v>727</v>
      </c>
      <c r="I7" s="19" t="s">
        <v>419</v>
      </c>
      <c r="J7" s="52">
        <v>3451</v>
      </c>
      <c r="K7" s="48">
        <v>5.4000000953674316</v>
      </c>
      <c r="L7" s="19" t="s">
        <v>1301</v>
      </c>
      <c r="M7" s="19" t="s">
        <v>187</v>
      </c>
      <c r="N7" s="55">
        <f>DATEVALUE(Table1[[#This Row],[lahtopaiva]])</f>
        <v>45666</v>
      </c>
      <c r="O7" s="44">
        <f>TIMEVALUE(Table1[[#This Row],[lahtoaika]])</f>
        <v>0.47152777777777777</v>
      </c>
      <c r="P7" s="55">
        <f>DATEVALUE(Table1[[#This Row],[paluupaiva]])</f>
        <v>45666</v>
      </c>
      <c r="Q7" s="58">
        <f>TIMEVALUE(Table1[[#This Row],[paluuaika]])</f>
        <v>0.47986111111111113</v>
      </c>
      <c r="R7" s="60">
        <f>Table1[[#This Row],[lpvm]]</f>
        <v>45666</v>
      </c>
      <c r="S7" s="64">
        <f>Table1[[#This Row],[lpvm]]+Table1[[#This Row],[laika]]</f>
        <v>45666.47152777778</v>
      </c>
      <c r="T7" s="64">
        <f>Table1[[#This Row],[ppvm]]+Table1[[#This Row],[paika]]</f>
        <v>45666.479861111111</v>
      </c>
      <c r="U7" s="19">
        <v>0</v>
      </c>
      <c r="V7" s="19">
        <v>11</v>
      </c>
      <c r="W7" s="19">
        <v>53</v>
      </c>
      <c r="X7" s="19">
        <f>Table1[[#This Row],[ajotunnit]]*1 +Table1[[#This Row],[ajominuutit]]/60</f>
        <v>0.18333333333333332</v>
      </c>
      <c r="Y7" s="19">
        <v>0</v>
      </c>
      <c r="Z7" s="19">
        <v>6</v>
      </c>
      <c r="AA7" s="19">
        <v>57</v>
      </c>
      <c r="AB7" s="19">
        <f>Table1[[#This Row],[ptunnit]]+Table1[[#This Row],[pminuutit]]/60</f>
        <v>0.1</v>
      </c>
    </row>
    <row r="8" spans="1:28">
      <c r="A8" s="39" t="s">
        <v>1677</v>
      </c>
      <c r="B8" s="43" t="s">
        <v>509</v>
      </c>
      <c r="C8" s="26" t="s">
        <v>419</v>
      </c>
      <c r="D8" s="29">
        <v>3451</v>
      </c>
      <c r="E8" s="29" t="s">
        <v>528</v>
      </c>
      <c r="F8" s="29" t="s">
        <v>529</v>
      </c>
      <c r="G8" s="39" t="s">
        <v>1677</v>
      </c>
      <c r="H8" s="43" t="s">
        <v>510</v>
      </c>
      <c r="I8" s="26" t="s">
        <v>45</v>
      </c>
      <c r="J8" s="51">
        <v>3456</v>
      </c>
      <c r="K8" s="47">
        <v>5.0370001792907715</v>
      </c>
      <c r="L8" s="26" t="s">
        <v>1681</v>
      </c>
      <c r="M8" s="26" t="s">
        <v>1682</v>
      </c>
      <c r="N8" s="55">
        <f>DATEVALUE(Table1[[#This Row],[lahtopaiva]])</f>
        <v>45666</v>
      </c>
      <c r="O8" s="44">
        <f>TIMEVALUE(Table1[[#This Row],[lahtoaika]])</f>
        <v>0.48472222222222222</v>
      </c>
      <c r="P8" s="55">
        <f>DATEVALUE(Table1[[#This Row],[paluupaiva]])</f>
        <v>45666</v>
      </c>
      <c r="Q8" s="58">
        <f>TIMEVALUE(Table1[[#This Row],[paluuaika]])</f>
        <v>0.49027777777777781</v>
      </c>
      <c r="R8" s="60">
        <f>Table1[[#This Row],[lpvm]]</f>
        <v>45666</v>
      </c>
      <c r="S8" s="64">
        <f>Table1[[#This Row],[lpvm]]+Table1[[#This Row],[laika]]</f>
        <v>45666.484722222223</v>
      </c>
      <c r="T8" s="64">
        <f>Table1[[#This Row],[ppvm]]+Table1[[#This Row],[paika]]</f>
        <v>45666.490277777775</v>
      </c>
      <c r="U8" s="19">
        <v>0</v>
      </c>
      <c r="V8" s="19">
        <v>7</v>
      </c>
      <c r="W8" s="19">
        <v>42</v>
      </c>
      <c r="X8" s="19">
        <f>Table1[[#This Row],[ajotunnit]]*1 +Table1[[#This Row],[ajominuutit]]/60</f>
        <v>0.11666666666666667</v>
      </c>
      <c r="Y8" s="19">
        <v>0</v>
      </c>
      <c r="Z8" s="19">
        <v>45</v>
      </c>
      <c r="AA8" s="19">
        <v>2</v>
      </c>
      <c r="AB8" s="19">
        <f>Table1[[#This Row],[ptunnit]]+Table1[[#This Row],[pminuutit]]/60</f>
        <v>0.75</v>
      </c>
    </row>
    <row r="9" spans="1:28">
      <c r="A9" s="40" t="s">
        <v>1677</v>
      </c>
      <c r="B9" s="44" t="s">
        <v>347</v>
      </c>
      <c r="C9" s="19" t="s">
        <v>45</v>
      </c>
      <c r="D9" s="25">
        <v>3456</v>
      </c>
      <c r="E9" s="19" t="s">
        <v>528</v>
      </c>
      <c r="F9" s="19" t="s">
        <v>529</v>
      </c>
      <c r="G9" s="40" t="s">
        <v>1677</v>
      </c>
      <c r="H9" s="44" t="s">
        <v>109</v>
      </c>
      <c r="I9" s="19" t="s">
        <v>410</v>
      </c>
      <c r="J9" s="52">
        <v>3457</v>
      </c>
      <c r="K9" s="48">
        <v>1.0549999475479126</v>
      </c>
      <c r="L9" s="19" t="s">
        <v>1066</v>
      </c>
      <c r="M9" s="19" t="s">
        <v>336</v>
      </c>
      <c r="N9" s="55">
        <f>DATEVALUE(Table1[[#This Row],[lahtopaiva]])</f>
        <v>45666</v>
      </c>
      <c r="O9" s="44">
        <f>TIMEVALUE(Table1[[#This Row],[lahtoaika]])</f>
        <v>0.52152777777777781</v>
      </c>
      <c r="P9" s="55">
        <f>DATEVALUE(Table1[[#This Row],[paluupaiva]])</f>
        <v>45666</v>
      </c>
      <c r="Q9" s="58">
        <f>TIMEVALUE(Table1[[#This Row],[paluuaika]])</f>
        <v>0.52500000000000002</v>
      </c>
      <c r="R9" s="60">
        <f>Table1[[#This Row],[lpvm]]</f>
        <v>45666</v>
      </c>
      <c r="S9" s="64">
        <f>Table1[[#This Row],[lpvm]]+Table1[[#This Row],[laika]]</f>
        <v>45666.521527777775</v>
      </c>
      <c r="T9" s="64">
        <f>Table1[[#This Row],[ppvm]]+Table1[[#This Row],[paika]]</f>
        <v>45666.525000000001</v>
      </c>
      <c r="U9" s="19">
        <v>0</v>
      </c>
      <c r="V9" s="19">
        <v>4</v>
      </c>
      <c r="W9" s="19">
        <v>55</v>
      </c>
      <c r="X9" s="19">
        <f>Table1[[#This Row],[ajotunnit]]*1 +Table1[[#This Row],[ajominuutit]]/60</f>
        <v>6.6666666666666666E-2</v>
      </c>
      <c r="Y9" s="19">
        <v>0</v>
      </c>
      <c r="Z9" s="19">
        <v>8</v>
      </c>
      <c r="AA9" s="19">
        <v>41</v>
      </c>
      <c r="AB9" s="19">
        <f>Table1[[#This Row],[ptunnit]]+Table1[[#This Row],[pminuutit]]/60</f>
        <v>0.13333333333333333</v>
      </c>
    </row>
    <row r="10" spans="1:28">
      <c r="A10" s="39" t="s">
        <v>1677</v>
      </c>
      <c r="B10" s="43" t="s">
        <v>819</v>
      </c>
      <c r="C10" s="26" t="s">
        <v>410</v>
      </c>
      <c r="D10" s="29">
        <v>3457</v>
      </c>
      <c r="E10" s="29" t="s">
        <v>528</v>
      </c>
      <c r="F10" s="29" t="s">
        <v>529</v>
      </c>
      <c r="G10" s="39" t="s">
        <v>1677</v>
      </c>
      <c r="H10" s="43" t="s">
        <v>1403</v>
      </c>
      <c r="I10" s="26" t="s">
        <v>1101</v>
      </c>
      <c r="J10" s="51">
        <v>3458</v>
      </c>
      <c r="K10" s="47">
        <v>1.1720000505447388</v>
      </c>
      <c r="L10" s="26" t="s">
        <v>495</v>
      </c>
      <c r="M10" s="26" t="s">
        <v>87</v>
      </c>
      <c r="N10" s="55">
        <f>DATEVALUE(Table1[[#This Row],[lahtopaiva]])</f>
        <v>45666</v>
      </c>
      <c r="O10" s="44">
        <f>TIMEVALUE(Table1[[#This Row],[lahtoaika]])</f>
        <v>0.53055555555555556</v>
      </c>
      <c r="P10" s="55">
        <f>DATEVALUE(Table1[[#This Row],[paluupaiva]])</f>
        <v>45666</v>
      </c>
      <c r="Q10" s="58">
        <f>TIMEVALUE(Table1[[#This Row],[paluuaika]])</f>
        <v>0.53472222222222221</v>
      </c>
      <c r="R10" s="60">
        <f>Table1[[#This Row],[lpvm]]</f>
        <v>45666</v>
      </c>
      <c r="S10" s="64">
        <f>Table1[[#This Row],[lpvm]]+Table1[[#This Row],[laika]]</f>
        <v>45666.530555555553</v>
      </c>
      <c r="T10" s="64">
        <f>Table1[[#This Row],[ppvm]]+Table1[[#This Row],[paika]]</f>
        <v>45666.534722222219</v>
      </c>
      <c r="U10" s="19">
        <v>0</v>
      </c>
      <c r="V10" s="19">
        <v>5</v>
      </c>
      <c r="W10" s="19">
        <v>34</v>
      </c>
      <c r="X10" s="19">
        <f>Table1[[#This Row],[ajotunnit]]*1 +Table1[[#This Row],[ajominuutit]]/60</f>
        <v>8.3333333333333329E-2</v>
      </c>
      <c r="Y10" s="19">
        <v>0</v>
      </c>
      <c r="Z10" s="19">
        <v>1</v>
      </c>
      <c r="AA10" s="19">
        <v>30</v>
      </c>
      <c r="AB10" s="19">
        <f>Table1[[#This Row],[ptunnit]]+Table1[[#This Row],[pminuutit]]/60</f>
        <v>1.6666666666666666E-2</v>
      </c>
    </row>
    <row r="11" spans="1:28">
      <c r="A11" s="40" t="s">
        <v>1677</v>
      </c>
      <c r="B11" s="44" t="s">
        <v>879</v>
      </c>
      <c r="C11" s="19" t="s">
        <v>428</v>
      </c>
      <c r="D11" s="25">
        <v>3458</v>
      </c>
      <c r="E11" s="19" t="s">
        <v>528</v>
      </c>
      <c r="F11" s="19" t="s">
        <v>529</v>
      </c>
      <c r="G11" s="40" t="s">
        <v>1677</v>
      </c>
      <c r="H11" s="44" t="s">
        <v>513</v>
      </c>
      <c r="I11" s="19" t="s">
        <v>45</v>
      </c>
      <c r="J11" s="52">
        <v>3459</v>
      </c>
      <c r="K11" s="48">
        <v>1.2319999933242798</v>
      </c>
      <c r="L11" s="19" t="s">
        <v>1683</v>
      </c>
      <c r="M11" s="19" t="s">
        <v>1684</v>
      </c>
      <c r="N11" s="55">
        <f>DATEVALUE(Table1[[#This Row],[lahtopaiva]])</f>
        <v>45666</v>
      </c>
      <c r="O11" s="44">
        <f>TIMEVALUE(Table1[[#This Row],[lahtoaika]])</f>
        <v>0.53541666666666665</v>
      </c>
      <c r="P11" s="55">
        <f>DATEVALUE(Table1[[#This Row],[paluupaiva]])</f>
        <v>45666</v>
      </c>
      <c r="Q11" s="58">
        <f>TIMEVALUE(Table1[[#This Row],[paluuaika]])</f>
        <v>0.5395833333333333</v>
      </c>
      <c r="R11" s="60">
        <f>Table1[[#This Row],[lpvm]]</f>
        <v>45666</v>
      </c>
      <c r="S11" s="64">
        <f>Table1[[#This Row],[lpvm]]+Table1[[#This Row],[laika]]</f>
        <v>45666.535416666666</v>
      </c>
      <c r="T11" s="64">
        <f>Table1[[#This Row],[ppvm]]+Table1[[#This Row],[paika]]</f>
        <v>45666.539583333331</v>
      </c>
      <c r="U11" s="19">
        <v>0</v>
      </c>
      <c r="V11" s="19">
        <v>5</v>
      </c>
      <c r="W11" s="19">
        <v>50</v>
      </c>
      <c r="X11" s="19">
        <f>Table1[[#This Row],[ajotunnit]]*1 +Table1[[#This Row],[ajominuutit]]/60</f>
        <v>8.3333333333333329E-2</v>
      </c>
      <c r="Y11" s="19">
        <v>22</v>
      </c>
      <c r="Z11" s="19">
        <v>10</v>
      </c>
      <c r="AA11" s="19">
        <v>33</v>
      </c>
      <c r="AB11" s="19">
        <f>Table1[[#This Row],[ptunnit]]+Table1[[#This Row],[pminuutit]]/60</f>
        <v>22.166666666666668</v>
      </c>
    </row>
    <row r="12" spans="1:28">
      <c r="A12" s="39" t="s">
        <v>1685</v>
      </c>
      <c r="B12" s="43" t="s">
        <v>1106</v>
      </c>
      <c r="C12" s="26" t="s">
        <v>45</v>
      </c>
      <c r="D12" s="29">
        <v>3459</v>
      </c>
      <c r="E12" s="29" t="s">
        <v>528</v>
      </c>
      <c r="F12" s="29" t="s">
        <v>529</v>
      </c>
      <c r="G12" s="39" t="s">
        <v>1685</v>
      </c>
      <c r="H12" s="43" t="s">
        <v>59</v>
      </c>
      <c r="I12" s="26" t="s">
        <v>506</v>
      </c>
      <c r="J12" s="51">
        <v>3461</v>
      </c>
      <c r="K12" s="47">
        <v>1.3630000352859497</v>
      </c>
      <c r="L12" s="26" t="s">
        <v>495</v>
      </c>
      <c r="M12" s="26" t="s">
        <v>1373</v>
      </c>
      <c r="N12" s="55">
        <f>DATEVALUE(Table1[[#This Row],[lahtopaiva]])</f>
        <v>45667</v>
      </c>
      <c r="O12" s="44">
        <f>TIMEVALUE(Table1[[#This Row],[lahtoaika]])</f>
        <v>0.46388888888888885</v>
      </c>
      <c r="P12" s="55">
        <f>DATEVALUE(Table1[[#This Row],[paluupaiva]])</f>
        <v>45667</v>
      </c>
      <c r="Q12" s="58">
        <f>TIMEVALUE(Table1[[#This Row],[paluuaika]])</f>
        <v>0.46736111111111112</v>
      </c>
      <c r="R12" s="60">
        <f>Table1[[#This Row],[lpvm]]</f>
        <v>45667</v>
      </c>
      <c r="S12" s="64">
        <f>Table1[[#This Row],[lpvm]]+Table1[[#This Row],[laika]]</f>
        <v>45667.463888888888</v>
      </c>
      <c r="T12" s="64">
        <f>Table1[[#This Row],[ppvm]]+Table1[[#This Row],[paika]]</f>
        <v>45667.467361111114</v>
      </c>
      <c r="U12" s="19">
        <v>0</v>
      </c>
      <c r="V12" s="19">
        <v>5</v>
      </c>
      <c r="W12" s="19">
        <v>34</v>
      </c>
      <c r="X12" s="19">
        <f>Table1[[#This Row],[ajotunnit]]*1 +Table1[[#This Row],[ajominuutit]]/60</f>
        <v>8.3333333333333329E-2</v>
      </c>
      <c r="Y12" s="19">
        <v>0</v>
      </c>
      <c r="Z12" s="19">
        <v>7</v>
      </c>
      <c r="AA12" s="19">
        <v>22</v>
      </c>
      <c r="AB12" s="19">
        <f>Table1[[#This Row],[ptunnit]]+Table1[[#This Row],[pminuutit]]/60</f>
        <v>0.11666666666666667</v>
      </c>
    </row>
    <row r="13" spans="1:28">
      <c r="A13" s="40" t="s">
        <v>1685</v>
      </c>
      <c r="B13" s="44" t="s">
        <v>389</v>
      </c>
      <c r="C13" s="19" t="s">
        <v>506</v>
      </c>
      <c r="D13" s="25">
        <v>3461</v>
      </c>
      <c r="E13" s="19" t="s">
        <v>528</v>
      </c>
      <c r="F13" s="19" t="s">
        <v>529</v>
      </c>
      <c r="G13" s="40" t="s">
        <v>1685</v>
      </c>
      <c r="H13" s="44" t="s">
        <v>475</v>
      </c>
      <c r="I13" s="19" t="s">
        <v>45</v>
      </c>
      <c r="J13" s="52">
        <v>3462</v>
      </c>
      <c r="K13" s="48">
        <v>1.4670000076293945</v>
      </c>
      <c r="L13" s="19" t="s">
        <v>1686</v>
      </c>
      <c r="M13" s="19" t="s">
        <v>1687</v>
      </c>
      <c r="N13" s="55">
        <f>DATEVALUE(Table1[[#This Row],[lahtopaiva]])</f>
        <v>45667</v>
      </c>
      <c r="O13" s="44">
        <f>TIMEVALUE(Table1[[#This Row],[lahtoaika]])</f>
        <v>0.47291666666666665</v>
      </c>
      <c r="P13" s="55">
        <f>DATEVALUE(Table1[[#This Row],[paluupaiva]])</f>
        <v>45667</v>
      </c>
      <c r="Q13" s="58">
        <f>TIMEVALUE(Table1[[#This Row],[paluuaika]])</f>
        <v>0.47638888888888892</v>
      </c>
      <c r="R13" s="60">
        <f>Table1[[#This Row],[lpvm]]</f>
        <v>45667</v>
      </c>
      <c r="S13" s="64">
        <f>Table1[[#This Row],[lpvm]]+Table1[[#This Row],[laika]]</f>
        <v>45667.472916666666</v>
      </c>
      <c r="T13" s="64">
        <f>Table1[[#This Row],[ppvm]]+Table1[[#This Row],[paika]]</f>
        <v>45667.476388888892</v>
      </c>
      <c r="U13" s="19">
        <v>0</v>
      </c>
      <c r="V13" s="19">
        <v>5</v>
      </c>
      <c r="W13" s="19">
        <v>15</v>
      </c>
      <c r="X13" s="19">
        <f>Table1[[#This Row],[ajotunnit]]*1 +Table1[[#This Row],[ajominuutit]]/60</f>
        <v>8.3333333333333329E-2</v>
      </c>
      <c r="Y13" s="19">
        <v>70</v>
      </c>
      <c r="Z13" s="19">
        <v>15</v>
      </c>
      <c r="AA13" s="19">
        <v>28</v>
      </c>
      <c r="AB13" s="19">
        <f>Table1[[#This Row],[ptunnit]]+Table1[[#This Row],[pminuutit]]/60</f>
        <v>70.25</v>
      </c>
    </row>
    <row r="14" spans="1:28">
      <c r="A14" s="39" t="s">
        <v>1688</v>
      </c>
      <c r="B14" s="43" t="s">
        <v>736</v>
      </c>
      <c r="C14" s="26" t="s">
        <v>17</v>
      </c>
      <c r="D14" s="29">
        <v>3462</v>
      </c>
      <c r="E14" s="29" t="s">
        <v>528</v>
      </c>
      <c r="F14" s="29" t="s">
        <v>529</v>
      </c>
      <c r="G14" s="39" t="s">
        <v>1688</v>
      </c>
      <c r="H14" s="43" t="s">
        <v>1265</v>
      </c>
      <c r="I14" s="26" t="s">
        <v>1689</v>
      </c>
      <c r="J14" s="51">
        <v>3467</v>
      </c>
      <c r="K14" s="47">
        <v>4.6830000877380371</v>
      </c>
      <c r="L14" s="26" t="s">
        <v>1690</v>
      </c>
      <c r="M14" s="26" t="s">
        <v>874</v>
      </c>
      <c r="N14" s="55">
        <f>DATEVALUE(Table1[[#This Row],[lahtopaiva]])</f>
        <v>45670</v>
      </c>
      <c r="O14" s="44">
        <f>TIMEVALUE(Table1[[#This Row],[lahtoaika]])</f>
        <v>0.40347222222222223</v>
      </c>
      <c r="P14" s="55">
        <f>DATEVALUE(Table1[[#This Row],[paluupaiva]])</f>
        <v>45670</v>
      </c>
      <c r="Q14" s="58">
        <f>TIMEVALUE(Table1[[#This Row],[paluuaika]])</f>
        <v>0.41041666666666665</v>
      </c>
      <c r="R14" s="60">
        <f>Table1[[#This Row],[lpvm]]</f>
        <v>45670</v>
      </c>
      <c r="S14" s="64">
        <f>Table1[[#This Row],[lpvm]]+Table1[[#This Row],[laika]]</f>
        <v>45670.40347222222</v>
      </c>
      <c r="T14" s="64">
        <f>Table1[[#This Row],[ppvm]]+Table1[[#This Row],[paika]]</f>
        <v>45670.410416666666</v>
      </c>
      <c r="U14" s="19">
        <v>0</v>
      </c>
      <c r="V14" s="19">
        <v>10</v>
      </c>
      <c r="W14" s="19">
        <v>7</v>
      </c>
      <c r="X14" s="19">
        <f>Table1[[#This Row],[ajotunnit]]*1 +Table1[[#This Row],[ajominuutit]]/60</f>
        <v>0.16666666666666666</v>
      </c>
      <c r="Y14" s="19">
        <v>0</v>
      </c>
      <c r="Z14" s="19">
        <v>1</v>
      </c>
      <c r="AA14" s="19">
        <v>37</v>
      </c>
      <c r="AB14" s="19">
        <f>Table1[[#This Row],[ptunnit]]+Table1[[#This Row],[pminuutit]]/60</f>
        <v>1.6666666666666666E-2</v>
      </c>
    </row>
    <row r="15" spans="1:28">
      <c r="A15" s="40" t="s">
        <v>1688</v>
      </c>
      <c r="B15" s="44" t="s">
        <v>64</v>
      </c>
      <c r="C15" s="19" t="s">
        <v>1689</v>
      </c>
      <c r="D15" s="25">
        <v>3467</v>
      </c>
      <c r="E15" s="19" t="s">
        <v>528</v>
      </c>
      <c r="F15" s="19" t="s">
        <v>529</v>
      </c>
      <c r="G15" s="40" t="s">
        <v>1688</v>
      </c>
      <c r="H15" s="44" t="s">
        <v>383</v>
      </c>
      <c r="I15" s="19" t="s">
        <v>17</v>
      </c>
      <c r="J15" s="52">
        <v>3471</v>
      </c>
      <c r="K15" s="48">
        <v>4.0749998092651367</v>
      </c>
      <c r="L15" s="19" t="s">
        <v>1482</v>
      </c>
      <c r="M15" s="19" t="s">
        <v>1691</v>
      </c>
      <c r="N15" s="55">
        <f>DATEVALUE(Table1[[#This Row],[lahtopaiva]])</f>
        <v>45670</v>
      </c>
      <c r="O15" s="44">
        <f>TIMEVALUE(Table1[[#This Row],[lahtoaika]])</f>
        <v>0.41180555555555554</v>
      </c>
      <c r="P15" s="55">
        <f>DATEVALUE(Table1[[#This Row],[paluupaiva]])</f>
        <v>45670</v>
      </c>
      <c r="Q15" s="58">
        <f>TIMEVALUE(Table1[[#This Row],[paluuaika]])</f>
        <v>0.41944444444444445</v>
      </c>
      <c r="R15" s="60">
        <f>Table1[[#This Row],[lpvm]]</f>
        <v>45670</v>
      </c>
      <c r="S15" s="64">
        <f>Table1[[#This Row],[lpvm]]+Table1[[#This Row],[laika]]</f>
        <v>45670.411805555559</v>
      </c>
      <c r="T15" s="64">
        <f>Table1[[#This Row],[ppvm]]+Table1[[#This Row],[paika]]</f>
        <v>45670.419444444444</v>
      </c>
      <c r="U15" s="19">
        <v>0</v>
      </c>
      <c r="V15" s="19">
        <v>10</v>
      </c>
      <c r="W15" s="19">
        <v>50</v>
      </c>
      <c r="X15" s="19">
        <f>Table1[[#This Row],[ajotunnit]]*1 +Table1[[#This Row],[ajominuutit]]/60</f>
        <v>0.16666666666666666</v>
      </c>
      <c r="Y15" s="19">
        <v>1</v>
      </c>
      <c r="Z15" s="19">
        <v>12</v>
      </c>
      <c r="AA15" s="19">
        <v>46</v>
      </c>
      <c r="AB15" s="19">
        <f>Table1[[#This Row],[ptunnit]]+Table1[[#This Row],[pminuutit]]/60</f>
        <v>1.2</v>
      </c>
    </row>
    <row r="16" spans="1:28">
      <c r="A16" s="39" t="s">
        <v>1688</v>
      </c>
      <c r="B16" s="43" t="s">
        <v>489</v>
      </c>
      <c r="C16" s="26" t="s">
        <v>17</v>
      </c>
      <c r="D16" s="29">
        <v>3471</v>
      </c>
      <c r="E16" s="29" t="s">
        <v>528</v>
      </c>
      <c r="F16" s="29" t="s">
        <v>529</v>
      </c>
      <c r="G16" s="39" t="s">
        <v>1688</v>
      </c>
      <c r="H16" s="43" t="s">
        <v>490</v>
      </c>
      <c r="I16" s="26" t="s">
        <v>29</v>
      </c>
      <c r="J16" s="51">
        <v>3472</v>
      </c>
      <c r="K16" s="47">
        <v>1.1260000467300415</v>
      </c>
      <c r="L16" s="26" t="s">
        <v>1686</v>
      </c>
      <c r="M16" s="26" t="s">
        <v>1692</v>
      </c>
      <c r="N16" s="55">
        <f>DATEVALUE(Table1[[#This Row],[lahtopaiva]])</f>
        <v>45670</v>
      </c>
      <c r="O16" s="44">
        <f>TIMEVALUE(Table1[[#This Row],[lahtoaika]])</f>
        <v>0.47013888888888888</v>
      </c>
      <c r="P16" s="55">
        <f>DATEVALUE(Table1[[#This Row],[paluupaiva]])</f>
        <v>45670</v>
      </c>
      <c r="Q16" s="58">
        <f>TIMEVALUE(Table1[[#This Row],[paluuaika]])</f>
        <v>0.47361111111111115</v>
      </c>
      <c r="R16" s="60">
        <f>Table1[[#This Row],[lpvm]]</f>
        <v>45670</v>
      </c>
      <c r="S16" s="64">
        <f>Table1[[#This Row],[lpvm]]+Table1[[#This Row],[laika]]</f>
        <v>45670.470138888886</v>
      </c>
      <c r="T16" s="64">
        <f>Table1[[#This Row],[ppvm]]+Table1[[#This Row],[paika]]</f>
        <v>45670.473611111112</v>
      </c>
      <c r="U16" s="19">
        <v>0</v>
      </c>
      <c r="V16" s="19">
        <v>5</v>
      </c>
      <c r="W16" s="19">
        <v>15</v>
      </c>
      <c r="X16" s="19">
        <f>Table1[[#This Row],[ajotunnit]]*1 +Table1[[#This Row],[ajominuutit]]/60</f>
        <v>8.3333333333333329E-2</v>
      </c>
      <c r="Y16" s="19">
        <v>0</v>
      </c>
      <c r="Z16" s="19">
        <v>23</v>
      </c>
      <c r="AA16" s="19">
        <v>26</v>
      </c>
      <c r="AB16" s="19">
        <f>Table1[[#This Row],[ptunnit]]+Table1[[#This Row],[pminuutit]]/60</f>
        <v>0.38333333333333336</v>
      </c>
    </row>
    <row r="17" spans="1:28">
      <c r="A17" s="40" t="s">
        <v>1688</v>
      </c>
      <c r="B17" s="44" t="s">
        <v>756</v>
      </c>
      <c r="C17" s="19" t="s">
        <v>29</v>
      </c>
      <c r="D17" s="25">
        <v>3472</v>
      </c>
      <c r="E17" s="19" t="s">
        <v>528</v>
      </c>
      <c r="F17" s="19" t="s">
        <v>529</v>
      </c>
      <c r="G17" s="40" t="s">
        <v>1688</v>
      </c>
      <c r="H17" s="44" t="s">
        <v>1109</v>
      </c>
      <c r="I17" s="19" t="s">
        <v>1693</v>
      </c>
      <c r="J17" s="52">
        <v>3475</v>
      </c>
      <c r="K17" s="48">
        <v>2.4240000247955322</v>
      </c>
      <c r="L17" s="19" t="s">
        <v>632</v>
      </c>
      <c r="M17" s="19" t="s">
        <v>1607</v>
      </c>
      <c r="N17" s="55">
        <f>DATEVALUE(Table1[[#This Row],[lahtopaiva]])</f>
        <v>45670</v>
      </c>
      <c r="O17" s="44">
        <f>TIMEVALUE(Table1[[#This Row],[lahtoaika]])</f>
        <v>0.48958333333333331</v>
      </c>
      <c r="P17" s="55">
        <f>DATEVALUE(Table1[[#This Row],[paluupaiva]])</f>
        <v>45670</v>
      </c>
      <c r="Q17" s="58">
        <f>TIMEVALUE(Table1[[#This Row],[paluuaika]])</f>
        <v>0.49583333333333335</v>
      </c>
      <c r="R17" s="60">
        <f>Table1[[#This Row],[lpvm]]</f>
        <v>45670</v>
      </c>
      <c r="S17" s="64">
        <f>Table1[[#This Row],[lpvm]]+Table1[[#This Row],[laika]]</f>
        <v>45670.489583333336</v>
      </c>
      <c r="T17" s="64">
        <f>Table1[[#This Row],[ppvm]]+Table1[[#This Row],[paika]]</f>
        <v>45670.495833333334</v>
      </c>
      <c r="U17" s="19">
        <v>0</v>
      </c>
      <c r="V17" s="19">
        <v>8</v>
      </c>
      <c r="W17" s="19">
        <v>53</v>
      </c>
      <c r="X17" s="19">
        <f>Table1[[#This Row],[ajotunnit]]*1 +Table1[[#This Row],[ajominuutit]]/60</f>
        <v>0.13333333333333333</v>
      </c>
      <c r="Y17" s="19">
        <v>0</v>
      </c>
      <c r="Z17" s="19">
        <v>3</v>
      </c>
      <c r="AA17" s="19">
        <v>41</v>
      </c>
      <c r="AB17" s="19">
        <f>Table1[[#This Row],[ptunnit]]+Table1[[#This Row],[pminuutit]]/60</f>
        <v>0.05</v>
      </c>
    </row>
    <row r="18" spans="1:28">
      <c r="A18" s="39" t="s">
        <v>1688</v>
      </c>
      <c r="B18" s="43" t="s">
        <v>1461</v>
      </c>
      <c r="C18" s="26" t="s">
        <v>1693</v>
      </c>
      <c r="D18" s="29">
        <v>3475</v>
      </c>
      <c r="E18" s="29" t="s">
        <v>528</v>
      </c>
      <c r="F18" s="29" t="s">
        <v>529</v>
      </c>
      <c r="G18" s="39" t="s">
        <v>1688</v>
      </c>
      <c r="H18" s="43" t="s">
        <v>483</v>
      </c>
      <c r="I18" s="26" t="s">
        <v>17</v>
      </c>
      <c r="J18" s="51">
        <v>3478</v>
      </c>
      <c r="K18" s="47">
        <v>3.6310000419616699</v>
      </c>
      <c r="L18" s="26" t="s">
        <v>1045</v>
      </c>
      <c r="M18" s="26" t="s">
        <v>1694</v>
      </c>
      <c r="N18" s="55">
        <f>DATEVALUE(Table1[[#This Row],[lahtopaiva]])</f>
        <v>45670</v>
      </c>
      <c r="O18" s="44">
        <f>TIMEVALUE(Table1[[#This Row],[lahtoaika]])</f>
        <v>0.49861111111111112</v>
      </c>
      <c r="P18" s="55">
        <f>DATEVALUE(Table1[[#This Row],[paluupaiva]])</f>
        <v>45670</v>
      </c>
      <c r="Q18" s="58">
        <f>TIMEVALUE(Table1[[#This Row],[paluuaika]])</f>
        <v>0.50555555555555554</v>
      </c>
      <c r="R18" s="60">
        <f>Table1[[#This Row],[lpvm]]</f>
        <v>45670</v>
      </c>
      <c r="S18" s="64">
        <f>Table1[[#This Row],[lpvm]]+Table1[[#This Row],[laika]]</f>
        <v>45670.498611111114</v>
      </c>
      <c r="T18" s="64">
        <f>Table1[[#This Row],[ppvm]]+Table1[[#This Row],[paika]]</f>
        <v>45670.505555555559</v>
      </c>
      <c r="U18" s="19">
        <v>0</v>
      </c>
      <c r="V18" s="19">
        <v>10</v>
      </c>
      <c r="W18" s="19">
        <v>10</v>
      </c>
      <c r="X18" s="19">
        <f>Table1[[#This Row],[ajotunnit]]*1 +Table1[[#This Row],[ajominuutit]]/60</f>
        <v>0.16666666666666666</v>
      </c>
      <c r="Y18" s="19">
        <v>0</v>
      </c>
      <c r="Z18" s="19">
        <v>7</v>
      </c>
      <c r="AA18" s="19">
        <v>23</v>
      </c>
      <c r="AB18" s="19">
        <f>Table1[[#This Row],[ptunnit]]+Table1[[#This Row],[pminuutit]]/60</f>
        <v>0.11666666666666667</v>
      </c>
    </row>
    <row r="19" spans="1:28">
      <c r="A19" s="40" t="s">
        <v>1688</v>
      </c>
      <c r="B19" s="44" t="s">
        <v>213</v>
      </c>
      <c r="C19" s="19" t="s">
        <v>17</v>
      </c>
      <c r="D19" s="25">
        <v>3478</v>
      </c>
      <c r="E19" s="19" t="s">
        <v>528</v>
      </c>
      <c r="F19" s="19" t="s">
        <v>529</v>
      </c>
      <c r="G19" s="40" t="s">
        <v>1688</v>
      </c>
      <c r="H19" s="44" t="s">
        <v>214</v>
      </c>
      <c r="I19" s="19" t="s">
        <v>390</v>
      </c>
      <c r="J19" s="52">
        <v>3481</v>
      </c>
      <c r="K19" s="48">
        <v>2.377000093460083</v>
      </c>
      <c r="L19" s="19" t="s">
        <v>1695</v>
      </c>
      <c r="M19" s="19" t="s">
        <v>698</v>
      </c>
      <c r="N19" s="55">
        <f>DATEVALUE(Table1[[#This Row],[lahtopaiva]])</f>
        <v>45670</v>
      </c>
      <c r="O19" s="44">
        <f>TIMEVALUE(Table1[[#This Row],[lahtoaika]])</f>
        <v>0.51041666666666663</v>
      </c>
      <c r="P19" s="55">
        <f>DATEVALUE(Table1[[#This Row],[paluupaiva]])</f>
        <v>45670</v>
      </c>
      <c r="Q19" s="58">
        <f>TIMEVALUE(Table1[[#This Row],[paluuaika]])</f>
        <v>0.51736111111111105</v>
      </c>
      <c r="R19" s="60">
        <f>Table1[[#This Row],[lpvm]]</f>
        <v>45670</v>
      </c>
      <c r="S19" s="64">
        <f>Table1[[#This Row],[lpvm]]+Table1[[#This Row],[laika]]</f>
        <v>45670.510416666664</v>
      </c>
      <c r="T19" s="64">
        <f>Table1[[#This Row],[ppvm]]+Table1[[#This Row],[paika]]</f>
        <v>45670.517361111109</v>
      </c>
      <c r="U19" s="19">
        <v>0</v>
      </c>
      <c r="V19" s="19">
        <v>9</v>
      </c>
      <c r="W19" s="19">
        <v>15</v>
      </c>
      <c r="X19" s="19">
        <f>Table1[[#This Row],[ajotunnit]]*1 +Table1[[#This Row],[ajominuutit]]/60</f>
        <v>0.15</v>
      </c>
      <c r="Y19" s="19">
        <v>0</v>
      </c>
      <c r="Z19" s="19">
        <v>12</v>
      </c>
      <c r="AA19" s="19">
        <v>27</v>
      </c>
      <c r="AB19" s="19">
        <f>Table1[[#This Row],[ptunnit]]+Table1[[#This Row],[pminuutit]]/60</f>
        <v>0.2</v>
      </c>
    </row>
    <row r="20" spans="1:28">
      <c r="A20" s="39" t="s">
        <v>1688</v>
      </c>
      <c r="B20" s="43" t="s">
        <v>530</v>
      </c>
      <c r="C20" s="26" t="s">
        <v>390</v>
      </c>
      <c r="D20" s="29">
        <v>3481</v>
      </c>
      <c r="E20" s="29" t="s">
        <v>528</v>
      </c>
      <c r="F20" s="29" t="s">
        <v>529</v>
      </c>
      <c r="G20" s="39" t="s">
        <v>1688</v>
      </c>
      <c r="H20" s="43" t="s">
        <v>1008</v>
      </c>
      <c r="I20" s="26" t="s">
        <v>17</v>
      </c>
      <c r="J20" s="51">
        <v>3483</v>
      </c>
      <c r="K20" s="47">
        <v>2.4200000762939453</v>
      </c>
      <c r="L20" s="26" t="s">
        <v>1696</v>
      </c>
      <c r="M20" s="26" t="s">
        <v>1697</v>
      </c>
      <c r="N20" s="55">
        <f>DATEVALUE(Table1[[#This Row],[lahtopaiva]])</f>
        <v>45670</v>
      </c>
      <c r="O20" s="44">
        <f>TIMEVALUE(Table1[[#This Row],[lahtoaika]])</f>
        <v>0.52569444444444446</v>
      </c>
      <c r="P20" s="55">
        <f>DATEVALUE(Table1[[#This Row],[paluupaiva]])</f>
        <v>45670</v>
      </c>
      <c r="Q20" s="58">
        <f>TIMEVALUE(Table1[[#This Row],[paluuaika]])</f>
        <v>0.53194444444444444</v>
      </c>
      <c r="R20" s="60">
        <f>Table1[[#This Row],[lpvm]]</f>
        <v>45670</v>
      </c>
      <c r="S20" s="64">
        <f>Table1[[#This Row],[lpvm]]+Table1[[#This Row],[laika]]</f>
        <v>45670.525694444441</v>
      </c>
      <c r="T20" s="64">
        <f>Table1[[#This Row],[ppvm]]+Table1[[#This Row],[paika]]</f>
        <v>45670.531944444447</v>
      </c>
      <c r="U20" s="19">
        <v>0</v>
      </c>
      <c r="V20" s="19">
        <v>9</v>
      </c>
      <c r="W20" s="19">
        <v>9</v>
      </c>
      <c r="X20" s="19">
        <f>Table1[[#This Row],[ajotunnit]]*1 +Table1[[#This Row],[ajominuutit]]/60</f>
        <v>0.15</v>
      </c>
      <c r="Y20" s="19">
        <v>1</v>
      </c>
      <c r="Z20" s="19">
        <v>1</v>
      </c>
      <c r="AA20" s="19">
        <v>34</v>
      </c>
      <c r="AB20" s="19">
        <f>Table1[[#This Row],[ptunnit]]+Table1[[#This Row],[pminuutit]]/60</f>
        <v>1.0166666666666666</v>
      </c>
    </row>
    <row r="21" spans="1:28">
      <c r="A21" s="40" t="s">
        <v>1688</v>
      </c>
      <c r="B21" s="44" t="s">
        <v>585</v>
      </c>
      <c r="C21" s="19" t="s">
        <v>17</v>
      </c>
      <c r="D21" s="25">
        <v>3483</v>
      </c>
      <c r="E21" s="19" t="s">
        <v>528</v>
      </c>
      <c r="F21" s="19" t="s">
        <v>529</v>
      </c>
      <c r="G21" s="40" t="s">
        <v>1688</v>
      </c>
      <c r="H21" s="44" t="s">
        <v>466</v>
      </c>
      <c r="I21" s="19" t="s">
        <v>1465</v>
      </c>
      <c r="J21" s="52">
        <v>3487</v>
      </c>
      <c r="K21" s="48">
        <v>4.2919998168945313</v>
      </c>
      <c r="L21" s="19" t="s">
        <v>284</v>
      </c>
      <c r="M21" s="19" t="s">
        <v>1698</v>
      </c>
      <c r="N21" s="55">
        <f>DATEVALUE(Table1[[#This Row],[lahtopaiva]])</f>
        <v>45670</v>
      </c>
      <c r="O21" s="44">
        <f>TIMEVALUE(Table1[[#This Row],[lahtoaika]])</f>
        <v>0.57500000000000007</v>
      </c>
      <c r="P21" s="55">
        <f>DATEVALUE(Table1[[#This Row],[paluupaiva]])</f>
        <v>45670</v>
      </c>
      <c r="Q21" s="58">
        <f>TIMEVALUE(Table1[[#This Row],[paluuaika]])</f>
        <v>0.58333333333333337</v>
      </c>
      <c r="R21" s="60">
        <f>Table1[[#This Row],[lpvm]]</f>
        <v>45670</v>
      </c>
      <c r="S21" s="64">
        <f>Table1[[#This Row],[lpvm]]+Table1[[#This Row],[laika]]</f>
        <v>45670.574999999997</v>
      </c>
      <c r="T21" s="64">
        <f>Table1[[#This Row],[ppvm]]+Table1[[#This Row],[paika]]</f>
        <v>45670.583333333336</v>
      </c>
      <c r="U21" s="19">
        <v>0</v>
      </c>
      <c r="V21" s="19">
        <v>11</v>
      </c>
      <c r="W21" s="19">
        <v>43</v>
      </c>
      <c r="X21" s="19">
        <f>Table1[[#This Row],[ajotunnit]]*1 +Table1[[#This Row],[ajominuutit]]/60</f>
        <v>0.18333333333333332</v>
      </c>
      <c r="Y21" s="19">
        <v>0</v>
      </c>
      <c r="Z21" s="19">
        <v>18</v>
      </c>
      <c r="AA21" s="19">
        <v>24</v>
      </c>
      <c r="AB21" s="19">
        <f>Table1[[#This Row],[ptunnit]]+Table1[[#This Row],[pminuutit]]/60</f>
        <v>0.3</v>
      </c>
    </row>
    <row r="22" spans="1:28">
      <c r="A22" s="39" t="s">
        <v>1688</v>
      </c>
      <c r="B22" s="43" t="s">
        <v>467</v>
      </c>
      <c r="C22" s="26" t="s">
        <v>1465</v>
      </c>
      <c r="D22" s="29">
        <v>3487</v>
      </c>
      <c r="E22" s="29" t="s">
        <v>528</v>
      </c>
      <c r="F22" s="29" t="s">
        <v>529</v>
      </c>
      <c r="G22" s="39" t="s">
        <v>1688</v>
      </c>
      <c r="H22" s="43" t="s">
        <v>662</v>
      </c>
      <c r="I22" s="26" t="s">
        <v>17</v>
      </c>
      <c r="J22" s="51">
        <v>3492</v>
      </c>
      <c r="K22" s="47">
        <v>4.4619998931884766</v>
      </c>
      <c r="L22" s="26" t="s">
        <v>451</v>
      </c>
      <c r="M22" s="26" t="s">
        <v>1699</v>
      </c>
      <c r="N22" s="55">
        <f>DATEVALUE(Table1[[#This Row],[lahtopaiva]])</f>
        <v>45670</v>
      </c>
      <c r="O22" s="44">
        <f>TIMEVALUE(Table1[[#This Row],[lahtoaika]])</f>
        <v>0.59583333333333333</v>
      </c>
      <c r="P22" s="55">
        <f>DATEVALUE(Table1[[#This Row],[paluupaiva]])</f>
        <v>45670</v>
      </c>
      <c r="Q22" s="58">
        <f>TIMEVALUE(Table1[[#This Row],[paluuaika]])</f>
        <v>0.60416666666666663</v>
      </c>
      <c r="R22" s="60">
        <f>Table1[[#This Row],[lpvm]]</f>
        <v>45670</v>
      </c>
      <c r="S22" s="64">
        <f>Table1[[#This Row],[lpvm]]+Table1[[#This Row],[laika]]</f>
        <v>45670.595833333333</v>
      </c>
      <c r="T22" s="64">
        <f>Table1[[#This Row],[ppvm]]+Table1[[#This Row],[paika]]</f>
        <v>45670.604166666664</v>
      </c>
      <c r="U22" s="19">
        <v>0</v>
      </c>
      <c r="V22" s="19">
        <v>11</v>
      </c>
      <c r="W22" s="19">
        <v>46</v>
      </c>
      <c r="X22" s="19">
        <f>Table1[[#This Row],[ajotunnit]]*1 +Table1[[#This Row],[ajominuutit]]/60</f>
        <v>0.18333333333333332</v>
      </c>
      <c r="Y22" s="19">
        <v>67</v>
      </c>
      <c r="Z22" s="19">
        <v>34</v>
      </c>
      <c r="AA22" s="19">
        <v>35</v>
      </c>
      <c r="AB22" s="19">
        <f>Table1[[#This Row],[ptunnit]]+Table1[[#This Row],[pminuutit]]/60</f>
        <v>67.566666666666663</v>
      </c>
    </row>
    <row r="23" spans="1:28">
      <c r="A23" s="40"/>
      <c r="B23" s="40"/>
      <c r="C23" s="40"/>
      <c r="D23" s="40"/>
      <c r="E23" s="40"/>
      <c r="F23" s="40"/>
      <c r="G23" s="40"/>
      <c r="H23" s="40"/>
      <c r="I23" s="40"/>
      <c r="J23" s="52"/>
      <c r="K23" s="52"/>
      <c r="L23" s="52"/>
      <c r="M23" s="52"/>
      <c r="N23" s="55"/>
    </row>
    <row r="24" spans="1:28">
      <c r="A24" s="40"/>
      <c r="B24" s="40"/>
      <c r="C24" s="40"/>
      <c r="D24" s="40"/>
      <c r="E24" s="40"/>
      <c r="F24" s="40"/>
      <c r="G24" s="40"/>
      <c r="H24" s="40"/>
      <c r="I24" s="40"/>
      <c r="J24" s="52"/>
      <c r="K24" s="52"/>
      <c r="L24" s="52"/>
      <c r="M24" s="52"/>
      <c r="N24" s="55"/>
    </row>
    <row r="25" spans="1:28">
      <c r="A25" s="40"/>
      <c r="B25" s="40"/>
      <c r="C25" s="40"/>
      <c r="D25" s="40"/>
      <c r="E25" s="40"/>
      <c r="F25" s="40"/>
      <c r="G25" s="40"/>
      <c r="H25" s="40"/>
      <c r="I25" s="40"/>
      <c r="J25" s="52"/>
      <c r="K25" s="52"/>
      <c r="L25" s="52"/>
      <c r="M25" s="52"/>
      <c r="N25" s="55"/>
    </row>
    <row r="26" spans="1:28">
      <c r="A26" s="40"/>
      <c r="B26" s="40"/>
      <c r="C26" s="40"/>
      <c r="D26" s="40"/>
      <c r="E26" s="40"/>
      <c r="F26" s="40"/>
      <c r="G26" s="40"/>
      <c r="H26" s="40"/>
      <c r="I26" s="40"/>
      <c r="J26" s="52"/>
      <c r="K26" s="52"/>
      <c r="L26" s="52"/>
      <c r="M26" s="52"/>
      <c r="N26" s="55"/>
    </row>
    <row r="27" spans="1:28">
      <c r="A27" s="40"/>
      <c r="B27" s="40"/>
      <c r="C27" s="40"/>
      <c r="D27" s="40"/>
      <c r="E27" s="40"/>
      <c r="F27" s="40"/>
      <c r="G27" s="40"/>
      <c r="H27" s="40"/>
      <c r="I27" s="40"/>
      <c r="J27" s="52"/>
      <c r="K27" s="52"/>
      <c r="L27" s="52"/>
      <c r="M27" s="52"/>
      <c r="N27" s="55"/>
    </row>
    <row r="28" spans="1:28">
      <c r="A28" s="40"/>
      <c r="B28" s="40"/>
      <c r="C28" s="40"/>
      <c r="D28" s="40"/>
      <c r="E28" s="40"/>
      <c r="F28" s="40"/>
      <c r="G28" s="40"/>
      <c r="H28" s="40"/>
      <c r="I28" s="40"/>
      <c r="J28" s="52"/>
      <c r="K28" s="52"/>
      <c r="L28" s="52"/>
      <c r="M28" s="52"/>
      <c r="N28" s="55"/>
    </row>
    <row r="29" spans="1:28">
      <c r="A29" s="40"/>
      <c r="B29" s="40"/>
      <c r="C29" s="40"/>
      <c r="D29" s="40"/>
      <c r="E29" s="40"/>
      <c r="F29" s="40"/>
      <c r="G29" s="40"/>
      <c r="H29" s="40"/>
      <c r="I29" s="40"/>
      <c r="J29" s="52"/>
      <c r="K29" s="52"/>
      <c r="L29" s="52"/>
      <c r="M29" s="52"/>
      <c r="N29" s="55"/>
    </row>
    <row r="30" spans="1:28">
      <c r="A30" s="40"/>
      <c r="B30" s="40"/>
      <c r="C30" s="40"/>
      <c r="D30" s="40"/>
      <c r="E30" s="40"/>
      <c r="F30" s="40"/>
      <c r="G30" s="40"/>
      <c r="H30" s="40"/>
      <c r="I30" s="40"/>
      <c r="J30" s="52"/>
      <c r="K30" s="52"/>
      <c r="L30" s="52"/>
      <c r="M30" s="52"/>
      <c r="N30" s="55"/>
    </row>
    <row r="31" spans="1:28">
      <c r="A31" s="40"/>
      <c r="B31" s="40"/>
      <c r="C31" s="40"/>
      <c r="D31" s="40"/>
      <c r="E31" s="40"/>
      <c r="F31" s="40"/>
      <c r="G31" s="40"/>
      <c r="H31" s="40"/>
      <c r="I31" s="40"/>
      <c r="J31" s="52"/>
      <c r="K31" s="52"/>
      <c r="L31" s="52"/>
      <c r="M31" s="52"/>
      <c r="N31" s="55"/>
    </row>
    <row r="32" spans="1:28">
      <c r="A32" s="40"/>
      <c r="B32" s="40"/>
      <c r="C32" s="40"/>
      <c r="D32" s="40"/>
      <c r="E32" s="40"/>
      <c r="F32" s="40"/>
      <c r="G32" s="40"/>
      <c r="H32" s="40"/>
      <c r="I32" s="40"/>
      <c r="J32" s="52"/>
      <c r="K32" s="52"/>
      <c r="L32" s="52"/>
      <c r="M32" s="52"/>
      <c r="N32" s="55"/>
    </row>
    <row r="33" spans="1:14">
      <c r="A33" s="40"/>
      <c r="B33" s="40"/>
      <c r="C33" s="40"/>
      <c r="D33" s="40"/>
      <c r="E33" s="40"/>
      <c r="F33" s="40"/>
      <c r="G33" s="40"/>
      <c r="H33" s="40"/>
      <c r="I33" s="40"/>
      <c r="J33" s="52"/>
      <c r="K33" s="52"/>
      <c r="L33" s="52"/>
      <c r="M33" s="52"/>
      <c r="N33" s="55"/>
    </row>
    <row r="34" spans="1:14">
      <c r="A34" s="40"/>
      <c r="B34" s="40"/>
      <c r="C34" s="40"/>
      <c r="D34" s="40"/>
      <c r="E34" s="40"/>
      <c r="F34" s="40"/>
      <c r="G34" s="40"/>
      <c r="H34" s="40"/>
      <c r="I34" s="40"/>
      <c r="J34" s="52"/>
      <c r="K34" s="52"/>
      <c r="L34" s="52"/>
      <c r="M34" s="52"/>
      <c r="N34" s="55"/>
    </row>
    <row r="35" spans="1:14">
      <c r="A35" s="40"/>
      <c r="B35" s="40"/>
      <c r="C35" s="40"/>
      <c r="D35" s="40"/>
      <c r="E35" s="40"/>
      <c r="F35" s="40"/>
      <c r="G35" s="40"/>
      <c r="H35" s="40"/>
      <c r="I35" s="40"/>
      <c r="J35" s="52"/>
      <c r="K35" s="52"/>
      <c r="L35" s="52"/>
      <c r="M35" s="52"/>
      <c r="N35" s="55"/>
    </row>
    <row r="36" spans="1:14">
      <c r="A36" s="40"/>
      <c r="B36" s="40"/>
      <c r="C36" s="40"/>
      <c r="D36" s="40"/>
      <c r="E36" s="40"/>
      <c r="F36" s="40"/>
      <c r="G36" s="40"/>
      <c r="H36" s="40"/>
      <c r="I36" s="40"/>
      <c r="J36" s="52"/>
      <c r="K36" s="52"/>
      <c r="L36" s="52"/>
      <c r="M36" s="52"/>
      <c r="N36" s="55"/>
    </row>
    <row r="37" spans="1:14">
      <c r="A37" s="40"/>
      <c r="B37" s="40"/>
      <c r="C37" s="40"/>
      <c r="D37" s="40"/>
      <c r="E37" s="40"/>
      <c r="F37" s="40"/>
      <c r="G37" s="40"/>
      <c r="H37" s="40"/>
      <c r="I37" s="40"/>
      <c r="J37" s="52"/>
      <c r="K37" s="52"/>
      <c r="L37" s="52"/>
      <c r="M37" s="52"/>
      <c r="N37" s="55"/>
    </row>
    <row r="38" spans="1:14">
      <c r="A38" s="40"/>
      <c r="B38" s="40"/>
      <c r="C38" s="40"/>
      <c r="D38" s="40"/>
      <c r="E38" s="40"/>
      <c r="F38" s="40"/>
      <c r="G38" s="40"/>
      <c r="H38" s="40"/>
      <c r="I38" s="40"/>
      <c r="J38" s="52"/>
      <c r="K38" s="52"/>
      <c r="L38" s="52"/>
      <c r="M38" s="52"/>
      <c r="N38" s="55"/>
    </row>
    <row r="39" spans="1:14">
      <c r="A39" s="40"/>
      <c r="B39" s="40"/>
      <c r="C39" s="40"/>
      <c r="D39" s="40"/>
      <c r="E39" s="40"/>
      <c r="F39" s="40"/>
      <c r="G39" s="40"/>
      <c r="H39" s="40"/>
      <c r="I39" s="40"/>
      <c r="J39" s="52"/>
      <c r="K39" s="52"/>
      <c r="L39" s="52"/>
      <c r="M39" s="52"/>
      <c r="N39" s="55"/>
    </row>
    <row r="40" spans="1:14">
      <c r="A40" s="40"/>
      <c r="B40" s="40"/>
      <c r="C40" s="40"/>
      <c r="D40" s="40"/>
      <c r="E40" s="40"/>
      <c r="F40" s="40"/>
      <c r="G40" s="40"/>
      <c r="H40" s="40"/>
      <c r="I40" s="40"/>
      <c r="J40" s="52"/>
      <c r="K40" s="52"/>
      <c r="L40" s="52"/>
      <c r="M40" s="52"/>
      <c r="N40" s="55"/>
    </row>
    <row r="41" spans="1:14">
      <c r="A41" s="40"/>
      <c r="B41" s="40"/>
      <c r="C41" s="40"/>
      <c r="D41" s="40"/>
      <c r="E41" s="40"/>
      <c r="F41" s="40"/>
      <c r="G41" s="40"/>
      <c r="H41" s="40"/>
      <c r="I41" s="40"/>
      <c r="J41" s="52"/>
      <c r="K41" s="52"/>
      <c r="L41" s="52"/>
      <c r="M41" s="52"/>
      <c r="N41" s="55"/>
    </row>
    <row r="42" spans="1:14">
      <c r="A42" s="40"/>
      <c r="B42" s="40"/>
      <c r="C42" s="40"/>
      <c r="D42" s="40"/>
      <c r="E42" s="40"/>
      <c r="F42" s="40"/>
      <c r="G42" s="40"/>
      <c r="H42" s="40"/>
      <c r="I42" s="40"/>
      <c r="J42" s="52"/>
      <c r="K42" s="52"/>
      <c r="L42" s="52"/>
      <c r="M42" s="52"/>
      <c r="N42" s="55"/>
    </row>
    <row r="43" spans="1:14">
      <c r="A43" s="40"/>
      <c r="B43" s="40"/>
      <c r="C43" s="40"/>
      <c r="D43" s="40"/>
      <c r="E43" s="40"/>
      <c r="F43" s="40"/>
      <c r="G43" s="40"/>
      <c r="H43" s="40"/>
      <c r="I43" s="40"/>
      <c r="J43" s="52"/>
      <c r="K43" s="52"/>
      <c r="L43" s="52"/>
      <c r="M43" s="52"/>
      <c r="N43" s="55"/>
    </row>
    <row r="44" spans="1:14">
      <c r="A44" s="40"/>
      <c r="B44" s="40"/>
      <c r="C44" s="40"/>
      <c r="D44" s="40"/>
      <c r="E44" s="40"/>
      <c r="F44" s="40"/>
      <c r="G44" s="40"/>
      <c r="H44" s="40"/>
      <c r="I44" s="40"/>
      <c r="J44" s="52"/>
      <c r="K44" s="52"/>
      <c r="L44" s="52"/>
      <c r="M44" s="52"/>
      <c r="N44" s="55"/>
    </row>
    <row r="45" spans="1:14">
      <c r="A45" s="40"/>
      <c r="B45" s="40"/>
      <c r="C45" s="40"/>
      <c r="D45" s="40"/>
      <c r="E45" s="40"/>
      <c r="F45" s="40"/>
      <c r="G45" s="40"/>
      <c r="H45" s="40"/>
      <c r="I45" s="40"/>
      <c r="J45" s="52"/>
      <c r="K45" s="52"/>
      <c r="L45" s="52"/>
      <c r="M45" s="52"/>
      <c r="N45" s="55"/>
    </row>
    <row r="46" spans="1:14">
      <c r="A46" s="40"/>
      <c r="B46" s="40"/>
      <c r="C46" s="40"/>
      <c r="D46" s="40"/>
      <c r="E46" s="40"/>
      <c r="F46" s="40"/>
      <c r="G46" s="40"/>
      <c r="H46" s="40"/>
      <c r="I46" s="40"/>
      <c r="J46" s="52"/>
      <c r="K46" s="52"/>
      <c r="L46" s="52"/>
      <c r="M46" s="52"/>
      <c r="N46" s="55"/>
    </row>
    <row r="47" spans="1:14">
      <c r="A47" s="40"/>
      <c r="B47" s="40"/>
      <c r="C47" s="40"/>
      <c r="D47" s="40"/>
      <c r="E47" s="40"/>
      <c r="F47" s="40"/>
      <c r="G47" s="40"/>
      <c r="H47" s="40"/>
      <c r="I47" s="40"/>
      <c r="J47" s="52"/>
      <c r="K47" s="52"/>
      <c r="L47" s="52"/>
      <c r="M47" s="52"/>
      <c r="N47" s="55"/>
    </row>
    <row r="48" spans="1:14">
      <c r="A48" s="40"/>
      <c r="B48" s="40"/>
      <c r="C48" s="40"/>
      <c r="D48" s="40"/>
      <c r="E48" s="40"/>
      <c r="F48" s="40"/>
      <c r="G48" s="40"/>
      <c r="H48" s="40"/>
      <c r="I48" s="40"/>
      <c r="J48" s="52"/>
      <c r="K48" s="52"/>
      <c r="L48" s="52"/>
      <c r="M48" s="52"/>
      <c r="N48" s="55"/>
    </row>
    <row r="49" spans="1:14">
      <c r="A49" s="40"/>
      <c r="B49" s="40"/>
      <c r="C49" s="40"/>
      <c r="D49" s="40"/>
      <c r="E49" s="40"/>
      <c r="F49" s="40"/>
      <c r="G49" s="40"/>
      <c r="H49" s="40"/>
      <c r="I49" s="40"/>
      <c r="J49" s="52"/>
      <c r="K49" s="52"/>
      <c r="L49" s="52"/>
      <c r="M49" s="52"/>
      <c r="N49" s="55"/>
    </row>
    <row r="50" spans="1:14">
      <c r="A50" s="40"/>
      <c r="B50" s="40"/>
      <c r="C50" s="40"/>
      <c r="D50" s="40"/>
      <c r="E50" s="40"/>
      <c r="F50" s="40"/>
      <c r="G50" s="40"/>
      <c r="H50" s="40"/>
      <c r="I50" s="40"/>
      <c r="J50" s="52"/>
      <c r="K50" s="52"/>
      <c r="L50" s="52"/>
      <c r="M50" s="52"/>
      <c r="N50" s="55"/>
    </row>
    <row r="51" spans="1:14">
      <c r="A51" s="40"/>
      <c r="B51" s="40"/>
      <c r="C51" s="40"/>
      <c r="D51" s="40"/>
      <c r="E51" s="40"/>
      <c r="F51" s="40"/>
      <c r="G51" s="40"/>
      <c r="H51" s="40"/>
      <c r="I51" s="40"/>
      <c r="J51" s="52"/>
      <c r="K51" s="52"/>
      <c r="L51" s="52"/>
      <c r="M51" s="52"/>
      <c r="N51" s="55"/>
    </row>
    <row r="52" spans="1:14">
      <c r="A52" s="40"/>
      <c r="B52" s="40"/>
      <c r="C52" s="40"/>
      <c r="D52" s="40"/>
      <c r="E52" s="40"/>
      <c r="F52" s="40"/>
      <c r="G52" s="40"/>
      <c r="H52" s="40"/>
      <c r="I52" s="40"/>
      <c r="J52" s="52"/>
      <c r="K52" s="52"/>
      <c r="L52" s="52"/>
      <c r="M52" s="52"/>
      <c r="N52" s="55"/>
    </row>
    <row r="53" spans="1:14">
      <c r="A53" s="40"/>
      <c r="B53" s="40"/>
      <c r="C53" s="40"/>
      <c r="D53" s="40"/>
      <c r="E53" s="40"/>
      <c r="F53" s="40"/>
      <c r="G53" s="40"/>
      <c r="H53" s="40"/>
      <c r="I53" s="40"/>
      <c r="J53" s="52"/>
      <c r="K53" s="52"/>
      <c r="L53" s="52"/>
      <c r="M53" s="52"/>
      <c r="N53" s="55"/>
    </row>
    <row r="54" spans="1:14">
      <c r="A54" s="40"/>
      <c r="B54" s="40"/>
      <c r="C54" s="40"/>
      <c r="D54" s="40"/>
      <c r="E54" s="40"/>
      <c r="F54" s="40"/>
      <c r="G54" s="40"/>
      <c r="H54" s="40"/>
      <c r="I54" s="40"/>
      <c r="J54" s="52"/>
      <c r="K54" s="52"/>
      <c r="L54" s="52"/>
      <c r="M54" s="52"/>
      <c r="N54" s="55"/>
    </row>
    <row r="55" spans="1:14">
      <c r="A55" s="40"/>
      <c r="B55" s="40"/>
      <c r="C55" s="40"/>
      <c r="D55" s="40"/>
      <c r="E55" s="40"/>
      <c r="F55" s="40"/>
      <c r="G55" s="40"/>
      <c r="H55" s="40"/>
      <c r="I55" s="40"/>
      <c r="J55" s="52"/>
      <c r="K55" s="52"/>
      <c r="L55" s="52"/>
      <c r="M55" s="52"/>
      <c r="N55" s="55"/>
    </row>
    <row r="56" spans="1:14">
      <c r="A56" s="40"/>
      <c r="B56" s="40"/>
      <c r="C56" s="40"/>
      <c r="D56" s="40"/>
      <c r="E56" s="40"/>
      <c r="F56" s="40"/>
      <c r="G56" s="40"/>
      <c r="H56" s="40"/>
      <c r="I56" s="40"/>
      <c r="J56" s="52"/>
      <c r="K56" s="52"/>
      <c r="L56" s="52"/>
      <c r="M56" s="52"/>
      <c r="N56" s="55"/>
    </row>
    <row r="57" spans="1:14">
      <c r="A57" s="40"/>
      <c r="B57" s="40"/>
      <c r="C57" s="40"/>
      <c r="D57" s="40"/>
      <c r="E57" s="40"/>
      <c r="F57" s="40"/>
      <c r="G57" s="40"/>
      <c r="H57" s="40"/>
      <c r="I57" s="40"/>
      <c r="J57" s="52"/>
      <c r="K57" s="52"/>
      <c r="L57" s="52"/>
      <c r="M57" s="52"/>
      <c r="N57" s="55"/>
    </row>
    <row r="58" spans="1:14">
      <c r="A58" s="40"/>
      <c r="B58" s="40"/>
      <c r="C58" s="40"/>
      <c r="D58" s="40"/>
      <c r="E58" s="40"/>
      <c r="F58" s="40"/>
      <c r="G58" s="40"/>
      <c r="H58" s="40"/>
      <c r="I58" s="40"/>
      <c r="J58" s="52"/>
      <c r="K58" s="52"/>
      <c r="L58" s="52"/>
      <c r="M58" s="52"/>
      <c r="N58" s="55"/>
    </row>
    <row r="59" spans="1:14">
      <c r="A59" s="40"/>
      <c r="B59" s="40"/>
      <c r="C59" s="40"/>
      <c r="D59" s="40"/>
      <c r="E59" s="40"/>
      <c r="F59" s="40"/>
      <c r="G59" s="40"/>
      <c r="H59" s="40"/>
      <c r="I59" s="40"/>
      <c r="J59" s="52"/>
      <c r="K59" s="52"/>
      <c r="L59" s="52"/>
      <c r="M59" s="52"/>
      <c r="N59" s="55"/>
    </row>
    <row r="60" spans="1:14">
      <c r="A60" s="40"/>
      <c r="B60" s="40"/>
      <c r="C60" s="40"/>
      <c r="D60" s="40"/>
      <c r="E60" s="40"/>
      <c r="F60" s="40"/>
      <c r="G60" s="40"/>
      <c r="H60" s="40"/>
      <c r="I60" s="40"/>
      <c r="J60" s="52"/>
      <c r="K60" s="52"/>
      <c r="L60" s="52"/>
      <c r="M60" s="52"/>
      <c r="N60" s="55"/>
    </row>
    <row r="61" spans="1:14">
      <c r="A61" s="40"/>
      <c r="B61" s="40"/>
      <c r="C61" s="40"/>
      <c r="D61" s="40"/>
      <c r="E61" s="40"/>
      <c r="F61" s="40"/>
      <c r="G61" s="40"/>
      <c r="H61" s="40"/>
      <c r="I61" s="40"/>
      <c r="J61" s="52"/>
      <c r="K61" s="52"/>
      <c r="L61" s="52"/>
      <c r="M61" s="52"/>
      <c r="N61" s="55"/>
    </row>
    <row r="62" spans="1:14">
      <c r="A62" s="40"/>
      <c r="B62" s="40"/>
      <c r="C62" s="40"/>
      <c r="D62" s="40"/>
      <c r="E62" s="40"/>
      <c r="F62" s="40"/>
      <c r="G62" s="40"/>
      <c r="H62" s="40"/>
      <c r="I62" s="40"/>
      <c r="J62" s="52"/>
      <c r="K62" s="52"/>
      <c r="L62" s="52"/>
      <c r="M62" s="52"/>
      <c r="N62" s="55"/>
    </row>
    <row r="63" spans="1:14">
      <c r="A63" s="40"/>
      <c r="B63" s="40"/>
      <c r="C63" s="40"/>
      <c r="D63" s="40"/>
      <c r="E63" s="40"/>
      <c r="F63" s="40"/>
      <c r="G63" s="40"/>
      <c r="H63" s="40"/>
      <c r="I63" s="40"/>
      <c r="J63" s="52"/>
      <c r="K63" s="52"/>
      <c r="L63" s="52"/>
      <c r="M63" s="52"/>
      <c r="N63" s="55"/>
    </row>
    <row r="64" spans="1:14">
      <c r="A64" s="40"/>
      <c r="B64" s="40"/>
      <c r="C64" s="40"/>
      <c r="D64" s="40"/>
      <c r="E64" s="40"/>
      <c r="F64" s="40"/>
      <c r="G64" s="40"/>
      <c r="H64" s="40"/>
      <c r="I64" s="40"/>
      <c r="J64" s="52"/>
      <c r="K64" s="52"/>
      <c r="L64" s="52"/>
      <c r="M64" s="52"/>
      <c r="N64" s="55"/>
    </row>
    <row r="65" spans="1:14">
      <c r="A65" s="40"/>
      <c r="B65" s="40"/>
      <c r="C65" s="40"/>
      <c r="D65" s="40"/>
      <c r="E65" s="40"/>
      <c r="F65" s="40"/>
      <c r="G65" s="40"/>
      <c r="H65" s="40"/>
      <c r="I65" s="40"/>
      <c r="J65" s="52"/>
      <c r="K65" s="52"/>
      <c r="L65" s="52"/>
      <c r="M65" s="52"/>
      <c r="N65" s="55"/>
    </row>
    <row r="66" spans="1:14">
      <c r="A66" s="40"/>
      <c r="B66" s="40"/>
      <c r="C66" s="40"/>
      <c r="D66" s="40"/>
      <c r="E66" s="40"/>
      <c r="F66" s="40"/>
      <c r="G66" s="40"/>
      <c r="H66" s="40"/>
      <c r="I66" s="40"/>
      <c r="J66" s="52"/>
      <c r="K66" s="52"/>
      <c r="L66" s="52"/>
      <c r="M66" s="52"/>
      <c r="N66" s="55"/>
    </row>
    <row r="67" spans="1:14">
      <c r="A67" s="40"/>
      <c r="B67" s="40"/>
      <c r="C67" s="40"/>
      <c r="D67" s="40"/>
      <c r="E67" s="40"/>
      <c r="F67" s="40"/>
      <c r="G67" s="40"/>
      <c r="H67" s="40"/>
      <c r="I67" s="40"/>
      <c r="J67" s="52"/>
      <c r="K67" s="52"/>
      <c r="L67" s="52"/>
      <c r="M67" s="52"/>
      <c r="N67" s="55"/>
    </row>
    <row r="68" spans="1:14">
      <c r="A68" s="40"/>
      <c r="B68" s="40"/>
      <c r="C68" s="40"/>
      <c r="D68" s="40"/>
      <c r="E68" s="40"/>
      <c r="F68" s="40"/>
      <c r="G68" s="40"/>
      <c r="H68" s="40"/>
      <c r="I68" s="40"/>
      <c r="J68" s="52"/>
      <c r="K68" s="52"/>
      <c r="L68" s="52"/>
      <c r="M68" s="52"/>
      <c r="N68" s="55"/>
    </row>
    <row r="69" spans="1:14">
      <c r="A69" s="40"/>
      <c r="B69" s="40"/>
      <c r="C69" s="40"/>
      <c r="D69" s="40"/>
      <c r="E69" s="40"/>
      <c r="F69" s="40"/>
      <c r="G69" s="40"/>
      <c r="H69" s="40"/>
      <c r="I69" s="40"/>
      <c r="J69" s="52"/>
      <c r="K69" s="52"/>
      <c r="L69" s="52"/>
      <c r="M69" s="52"/>
      <c r="N69" s="55"/>
    </row>
    <row r="70" spans="1:14">
      <c r="A70" s="40"/>
      <c r="B70" s="40"/>
      <c r="C70" s="40"/>
      <c r="D70" s="40"/>
      <c r="E70" s="40"/>
      <c r="F70" s="40"/>
      <c r="G70" s="40"/>
      <c r="H70" s="40"/>
      <c r="I70" s="40"/>
      <c r="J70" s="52"/>
      <c r="K70" s="52"/>
      <c r="L70" s="52"/>
      <c r="M70" s="52"/>
      <c r="N70" s="55"/>
    </row>
    <row r="71" spans="1:14">
      <c r="A71" s="40"/>
      <c r="B71" s="40"/>
      <c r="C71" s="40"/>
      <c r="D71" s="40"/>
      <c r="E71" s="40"/>
      <c r="F71" s="40"/>
      <c r="G71" s="40"/>
      <c r="H71" s="40"/>
      <c r="I71" s="40"/>
      <c r="J71" s="52"/>
      <c r="K71" s="52"/>
      <c r="L71" s="52"/>
      <c r="M71" s="52"/>
      <c r="N71" s="55"/>
    </row>
    <row r="72" spans="1:14">
      <c r="A72" s="40"/>
      <c r="B72" s="40"/>
      <c r="C72" s="40"/>
      <c r="D72" s="40"/>
      <c r="E72" s="40"/>
      <c r="F72" s="40"/>
      <c r="G72" s="40"/>
      <c r="H72" s="40"/>
      <c r="I72" s="40"/>
      <c r="J72" s="52"/>
      <c r="K72" s="52"/>
      <c r="L72" s="52"/>
      <c r="M72" s="52"/>
      <c r="N72" s="55"/>
    </row>
    <row r="73" spans="1:14">
      <c r="A73" s="40"/>
      <c r="B73" s="40"/>
      <c r="C73" s="40"/>
      <c r="D73" s="40"/>
      <c r="E73" s="40"/>
      <c r="F73" s="40"/>
      <c r="G73" s="40"/>
      <c r="H73" s="40"/>
      <c r="I73" s="40"/>
      <c r="J73" s="52"/>
      <c r="K73" s="52"/>
      <c r="L73" s="52"/>
      <c r="M73" s="52"/>
      <c r="N73" s="55"/>
    </row>
    <row r="74" spans="1:14">
      <c r="A74" s="40"/>
      <c r="B74" s="40"/>
      <c r="C74" s="40"/>
      <c r="D74" s="40"/>
      <c r="E74" s="40"/>
      <c r="F74" s="40"/>
      <c r="G74" s="40"/>
      <c r="H74" s="40"/>
      <c r="I74" s="40"/>
      <c r="J74" s="52"/>
      <c r="K74" s="52"/>
      <c r="L74" s="52"/>
      <c r="M74" s="52"/>
      <c r="N74" s="55"/>
    </row>
    <row r="75" spans="1:14">
      <c r="A75" s="40"/>
      <c r="B75" s="40"/>
      <c r="C75" s="40"/>
      <c r="D75" s="40"/>
      <c r="E75" s="40"/>
      <c r="F75" s="40"/>
      <c r="G75" s="40"/>
      <c r="H75" s="40"/>
      <c r="I75" s="40"/>
      <c r="J75" s="52"/>
      <c r="K75" s="52"/>
      <c r="L75" s="52"/>
      <c r="M75" s="52"/>
      <c r="N75" s="55"/>
    </row>
    <row r="76" spans="1:14">
      <c r="A76" s="40"/>
      <c r="B76" s="40"/>
      <c r="C76" s="40"/>
      <c r="D76" s="40"/>
      <c r="E76" s="40"/>
      <c r="F76" s="40"/>
      <c r="G76" s="40"/>
      <c r="H76" s="40"/>
      <c r="I76" s="40"/>
      <c r="J76" s="52"/>
      <c r="K76" s="52"/>
      <c r="L76" s="52"/>
      <c r="M76" s="52"/>
      <c r="N76" s="55"/>
    </row>
    <row r="77" spans="1:14">
      <c r="A77" s="40"/>
      <c r="B77" s="40"/>
      <c r="C77" s="40"/>
      <c r="D77" s="40"/>
      <c r="E77" s="40"/>
      <c r="F77" s="40"/>
      <c r="G77" s="40"/>
      <c r="H77" s="40"/>
      <c r="I77" s="40"/>
      <c r="J77" s="52"/>
      <c r="K77" s="52"/>
      <c r="L77" s="52"/>
      <c r="M77" s="52"/>
      <c r="N77" s="55"/>
    </row>
    <row r="78" spans="1:14">
      <c r="A78" s="40"/>
      <c r="B78" s="40"/>
      <c r="C78" s="40"/>
      <c r="D78" s="40"/>
      <c r="E78" s="40"/>
      <c r="F78" s="40"/>
      <c r="G78" s="40"/>
      <c r="H78" s="40"/>
      <c r="I78" s="40"/>
      <c r="J78" s="52"/>
      <c r="K78" s="52"/>
      <c r="L78" s="52"/>
      <c r="M78" s="52"/>
      <c r="N78" s="55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52"/>
      <c r="K79" s="52"/>
      <c r="L79" s="52"/>
      <c r="M79" s="52"/>
      <c r="N79" s="55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52"/>
      <c r="K80" s="52"/>
      <c r="L80" s="52"/>
      <c r="M80" s="52"/>
      <c r="N80" s="55"/>
    </row>
    <row r="81" spans="1:14">
      <c r="A81" s="40"/>
      <c r="B81" s="40"/>
      <c r="C81" s="40"/>
      <c r="D81" s="40"/>
      <c r="E81" s="40"/>
      <c r="F81" s="40"/>
      <c r="G81" s="40"/>
      <c r="H81" s="40"/>
      <c r="I81" s="40"/>
      <c r="J81" s="52"/>
      <c r="K81" s="52"/>
      <c r="L81" s="52"/>
      <c r="M81" s="52"/>
      <c r="N81" s="55"/>
    </row>
    <row r="82" spans="1:14">
      <c r="A82" s="40"/>
      <c r="B82" s="40"/>
      <c r="C82" s="40"/>
      <c r="D82" s="40"/>
      <c r="E82" s="40"/>
      <c r="F82" s="40"/>
      <c r="G82" s="40"/>
      <c r="H82" s="40"/>
      <c r="I82" s="40"/>
      <c r="J82" s="52"/>
      <c r="K82" s="52"/>
      <c r="L82" s="52"/>
      <c r="M82" s="52"/>
      <c r="N82" s="55"/>
    </row>
    <row r="83" spans="1:14">
      <c r="A83" s="40"/>
      <c r="B83" s="40"/>
      <c r="C83" s="40"/>
      <c r="D83" s="40"/>
      <c r="E83" s="40"/>
      <c r="F83" s="40"/>
      <c r="G83" s="40"/>
      <c r="H83" s="40"/>
      <c r="I83" s="40"/>
      <c r="J83" s="52"/>
      <c r="K83" s="52"/>
      <c r="L83" s="52"/>
      <c r="M83" s="52"/>
      <c r="N83" s="55"/>
    </row>
    <row r="84" spans="1:14">
      <c r="A84" s="40"/>
      <c r="B84" s="40"/>
      <c r="C84" s="40"/>
      <c r="D84" s="40"/>
      <c r="E84" s="40"/>
      <c r="F84" s="40"/>
      <c r="G84" s="40"/>
      <c r="H84" s="40"/>
      <c r="I84" s="40"/>
      <c r="J84" s="52"/>
      <c r="K84" s="52"/>
      <c r="L84" s="52"/>
      <c r="M84" s="52"/>
      <c r="N84" s="55"/>
    </row>
    <row r="85" spans="1:14">
      <c r="A85" s="40"/>
      <c r="B85" s="40"/>
      <c r="C85" s="40"/>
      <c r="D85" s="40"/>
      <c r="E85" s="40"/>
      <c r="F85" s="40"/>
      <c r="G85" s="40"/>
      <c r="H85" s="40"/>
      <c r="I85" s="40"/>
      <c r="J85" s="52"/>
      <c r="K85" s="52"/>
      <c r="L85" s="52"/>
      <c r="M85" s="52"/>
      <c r="N85" s="55"/>
    </row>
    <row r="86" spans="1:14">
      <c r="A86" s="40"/>
      <c r="B86" s="40"/>
      <c r="C86" s="40"/>
      <c r="D86" s="40"/>
      <c r="E86" s="40"/>
      <c r="F86" s="40"/>
      <c r="G86" s="40"/>
      <c r="H86" s="40"/>
      <c r="I86" s="40"/>
      <c r="J86" s="52"/>
      <c r="K86" s="52"/>
      <c r="L86" s="52"/>
      <c r="M86" s="52"/>
      <c r="N86" s="55"/>
    </row>
    <row r="87" spans="1:14">
      <c r="A87" s="40"/>
      <c r="B87" s="40"/>
      <c r="C87" s="40"/>
      <c r="D87" s="40"/>
      <c r="E87" s="40"/>
      <c r="F87" s="40"/>
      <c r="G87" s="40"/>
      <c r="H87" s="40"/>
      <c r="I87" s="40"/>
      <c r="J87" s="52"/>
      <c r="K87" s="52"/>
      <c r="L87" s="52"/>
      <c r="M87" s="52"/>
      <c r="N87" s="55"/>
    </row>
    <row r="88" spans="1:14">
      <c r="A88" s="40"/>
      <c r="B88" s="40"/>
      <c r="C88" s="40"/>
      <c r="D88" s="40"/>
      <c r="E88" s="40"/>
      <c r="F88" s="40"/>
      <c r="G88" s="40"/>
      <c r="H88" s="40"/>
      <c r="I88" s="40"/>
      <c r="J88" s="52"/>
      <c r="K88" s="52"/>
      <c r="L88" s="52"/>
      <c r="M88" s="52"/>
      <c r="N88" s="55"/>
    </row>
    <row r="89" spans="1:14">
      <c r="A89" s="40"/>
      <c r="B89" s="40"/>
      <c r="C89" s="40"/>
      <c r="D89" s="40"/>
      <c r="E89" s="40"/>
      <c r="F89" s="40"/>
      <c r="G89" s="40"/>
      <c r="H89" s="40"/>
      <c r="I89" s="40"/>
      <c r="J89" s="52"/>
      <c r="K89" s="52"/>
      <c r="L89" s="52"/>
      <c r="M89" s="52"/>
      <c r="N89" s="55"/>
    </row>
    <row r="90" spans="1:14">
      <c r="A90" s="40"/>
      <c r="B90" s="40"/>
      <c r="C90" s="40"/>
      <c r="D90" s="40"/>
      <c r="E90" s="40"/>
      <c r="F90" s="40"/>
      <c r="G90" s="40"/>
      <c r="H90" s="40"/>
      <c r="I90" s="40"/>
      <c r="J90" s="52"/>
      <c r="K90" s="52"/>
      <c r="L90" s="52"/>
      <c r="M90" s="52"/>
      <c r="N90" s="55"/>
    </row>
    <row r="91" spans="1:14">
      <c r="A91" s="40"/>
      <c r="B91" s="40"/>
      <c r="C91" s="40"/>
      <c r="D91" s="40"/>
      <c r="E91" s="40"/>
      <c r="F91" s="40"/>
      <c r="G91" s="40"/>
      <c r="H91" s="40"/>
      <c r="I91" s="40"/>
      <c r="J91" s="52"/>
      <c r="K91" s="52"/>
      <c r="L91" s="52"/>
      <c r="M91" s="52"/>
      <c r="N91" s="55"/>
    </row>
    <row r="92" spans="1:14">
      <c r="A92" s="40"/>
      <c r="B92" s="40"/>
      <c r="C92" s="40"/>
      <c r="D92" s="40"/>
      <c r="E92" s="40"/>
      <c r="F92" s="40"/>
      <c r="G92" s="40"/>
      <c r="H92" s="40"/>
      <c r="I92" s="40"/>
      <c r="J92" s="52"/>
      <c r="K92" s="52"/>
      <c r="L92" s="52"/>
      <c r="M92" s="52"/>
      <c r="N92" s="55"/>
    </row>
    <row r="93" spans="1:14">
      <c r="A93" s="40"/>
      <c r="B93" s="40"/>
      <c r="C93" s="40"/>
      <c r="D93" s="40"/>
      <c r="E93" s="40"/>
      <c r="F93" s="40"/>
      <c r="G93" s="40"/>
      <c r="H93" s="40"/>
      <c r="I93" s="40"/>
      <c r="J93" s="52"/>
      <c r="K93" s="52"/>
      <c r="L93" s="52"/>
      <c r="M93" s="52"/>
      <c r="N93" s="55"/>
    </row>
    <row r="94" spans="1:14">
      <c r="A94" s="40"/>
      <c r="B94" s="40"/>
      <c r="C94" s="40"/>
      <c r="D94" s="40"/>
      <c r="E94" s="40"/>
      <c r="F94" s="40"/>
      <c r="G94" s="40"/>
      <c r="H94" s="40"/>
      <c r="I94" s="40"/>
      <c r="J94" s="52"/>
      <c r="K94" s="52"/>
      <c r="L94" s="52"/>
      <c r="M94" s="52"/>
      <c r="N94" s="55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52"/>
      <c r="K95" s="52"/>
      <c r="L95" s="52"/>
      <c r="M95" s="52"/>
      <c r="N95" s="55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52"/>
      <c r="K96" s="52"/>
      <c r="L96" s="52"/>
      <c r="M96" s="52"/>
      <c r="N96" s="55"/>
    </row>
    <row r="97" spans="1:14">
      <c r="A97" s="40"/>
      <c r="B97" s="40"/>
      <c r="C97" s="40"/>
      <c r="D97" s="40"/>
      <c r="E97" s="40"/>
      <c r="F97" s="40"/>
      <c r="G97" s="40"/>
      <c r="H97" s="40"/>
      <c r="I97" s="40"/>
      <c r="J97" s="52"/>
      <c r="K97" s="52"/>
      <c r="L97" s="52"/>
      <c r="M97" s="52"/>
      <c r="N97" s="55"/>
    </row>
    <row r="98" spans="1:14">
      <c r="A98" s="40"/>
      <c r="B98" s="40"/>
      <c r="C98" s="40"/>
      <c r="D98" s="40"/>
      <c r="E98" s="40"/>
      <c r="F98" s="40"/>
      <c r="G98" s="40"/>
      <c r="H98" s="40"/>
      <c r="I98" s="40"/>
      <c r="J98" s="52"/>
      <c r="K98" s="52"/>
      <c r="L98" s="52"/>
      <c r="M98" s="52"/>
      <c r="N98" s="55"/>
    </row>
    <row r="99" spans="1:14">
      <c r="A99" s="40"/>
      <c r="B99" s="40"/>
      <c r="C99" s="40"/>
      <c r="D99" s="40"/>
      <c r="E99" s="40"/>
      <c r="F99" s="40"/>
      <c r="G99" s="40"/>
      <c r="H99" s="40"/>
      <c r="I99" s="40"/>
      <c r="J99" s="52"/>
      <c r="K99" s="52"/>
      <c r="L99" s="52"/>
      <c r="M99" s="52"/>
      <c r="N99" s="55"/>
    </row>
    <row r="100" spans="1:14">
      <c r="A100" s="40"/>
      <c r="B100" s="40"/>
      <c r="C100" s="40"/>
      <c r="D100" s="40"/>
      <c r="E100" s="40"/>
      <c r="F100" s="40"/>
      <c r="G100" s="40"/>
      <c r="H100" s="40"/>
      <c r="I100" s="40"/>
      <c r="J100" s="52"/>
      <c r="K100" s="52"/>
      <c r="L100" s="52"/>
      <c r="M100" s="52"/>
      <c r="N100" s="55"/>
    </row>
    <row r="101" spans="1:14">
      <c r="A101" s="40"/>
      <c r="B101" s="40"/>
      <c r="C101" s="40"/>
      <c r="D101" s="40"/>
      <c r="E101" s="40"/>
      <c r="F101" s="40"/>
      <c r="G101" s="40"/>
      <c r="H101" s="40"/>
      <c r="I101" s="40"/>
      <c r="J101" s="52"/>
      <c r="K101" s="48"/>
      <c r="L101" s="19"/>
      <c r="M101" s="19"/>
      <c r="N101" s="55"/>
    </row>
    <row r="102" spans="1:14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14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14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14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14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14">
      <c r="A107" s="40"/>
      <c r="B107" s="40"/>
      <c r="C107" s="40"/>
      <c r="D107" s="40"/>
      <c r="E107" s="40"/>
      <c r="F107" s="40"/>
      <c r="G107" s="40"/>
      <c r="H107" s="40"/>
      <c r="I107" s="40"/>
    </row>
  </sheetData>
  <pageMargins left="0.39370078740157477" right="0.39370078740157477" top="0.89370078740157466" bottom="0.89370078740157466" header="0.5" footer="0.5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H2" sqref="H2"/>
    </sheetView>
  </sheetViews>
  <sheetFormatPr defaultRowHeight="14.25"/>
  <cols>
    <col min="1" max="1" width="32.5" bestFit="1" customWidth="1"/>
    <col min="2" max="2" width="9.75" bestFit="1" customWidth="1"/>
    <col min="3" max="3" width="14.125" bestFit="1" customWidth="1"/>
    <col min="4" max="4" width="32.5" bestFit="1" customWidth="1"/>
    <col min="5" max="5" width="10.25" bestFit="1" customWidth="1"/>
    <col min="7" max="8" width="15.25" style="67" bestFit="1" customWidth="1"/>
  </cols>
  <sheetData>
    <row r="1" spans="1:10">
      <c r="A1" t="s">
        <v>1702</v>
      </c>
      <c r="B1" t="s">
        <v>1703</v>
      </c>
      <c r="C1" t="s">
        <v>1704</v>
      </c>
      <c r="D1" t="s">
        <v>1707</v>
      </c>
      <c r="E1" t="s">
        <v>1708</v>
      </c>
      <c r="F1" t="s">
        <v>9</v>
      </c>
      <c r="G1" s="67" t="s">
        <v>1716</v>
      </c>
      <c r="H1" s="67" t="s">
        <v>1717</v>
      </c>
      <c r="I1" t="s">
        <v>1719</v>
      </c>
      <c r="J1" t="s">
        <v>1720</v>
      </c>
    </row>
    <row r="2" spans="1:10">
      <c r="A2" t="s">
        <v>45</v>
      </c>
      <c r="B2">
        <v>3398</v>
      </c>
      <c r="C2" t="s">
        <v>528</v>
      </c>
      <c r="D2" t="s">
        <v>45</v>
      </c>
      <c r="E2">
        <v>3417</v>
      </c>
      <c r="F2">
        <v>19.488000869750977</v>
      </c>
      <c r="G2" s="67">
        <v>45664.40347222222</v>
      </c>
      <c r="H2" s="67">
        <v>45664.427777777775</v>
      </c>
      <c r="I2">
        <v>0.58333333333333337</v>
      </c>
      <c r="J2">
        <v>23.1</v>
      </c>
    </row>
    <row r="3" spans="1:10">
      <c r="A3" t="s">
        <v>45</v>
      </c>
      <c r="B3">
        <v>3417</v>
      </c>
      <c r="C3" t="s">
        <v>528</v>
      </c>
      <c r="D3" t="s">
        <v>1674</v>
      </c>
      <c r="E3">
        <v>3422</v>
      </c>
      <c r="F3">
        <v>4.5089998245239258</v>
      </c>
      <c r="G3" s="67">
        <v>45665.390277777777</v>
      </c>
      <c r="H3" s="67">
        <v>45665.397222222222</v>
      </c>
      <c r="I3">
        <v>0.16666666666666666</v>
      </c>
      <c r="J3">
        <v>3.3333333333333333E-2</v>
      </c>
    </row>
    <row r="4" spans="1:10">
      <c r="A4" t="s">
        <v>1674</v>
      </c>
      <c r="B4">
        <v>3422</v>
      </c>
      <c r="C4" t="s">
        <v>528</v>
      </c>
      <c r="D4" t="s">
        <v>17</v>
      </c>
      <c r="E4">
        <v>3426</v>
      </c>
      <c r="F4">
        <v>4.6750001907348633</v>
      </c>
      <c r="G4" s="67">
        <v>45665.399305555555</v>
      </c>
      <c r="H4" s="67">
        <v>45665.407638888886</v>
      </c>
      <c r="I4">
        <v>0.2</v>
      </c>
      <c r="J4">
        <v>24.4</v>
      </c>
    </row>
    <row r="5" spans="1:10">
      <c r="A5" t="s">
        <v>17</v>
      </c>
      <c r="B5">
        <v>3426</v>
      </c>
      <c r="C5" t="s">
        <v>528</v>
      </c>
      <c r="D5" t="s">
        <v>1582</v>
      </c>
      <c r="E5">
        <v>3436</v>
      </c>
      <c r="F5">
        <v>9.7860002517700195</v>
      </c>
      <c r="G5" s="67">
        <v>45666.425000000003</v>
      </c>
      <c r="H5" s="67">
        <v>45666.434027777781</v>
      </c>
      <c r="I5">
        <v>0.21666666666666667</v>
      </c>
      <c r="J5">
        <v>3.3333333333333333E-2</v>
      </c>
    </row>
    <row r="6" spans="1:10">
      <c r="A6" t="s">
        <v>1289</v>
      </c>
      <c r="B6">
        <v>3436</v>
      </c>
      <c r="C6" t="s">
        <v>528</v>
      </c>
      <c r="D6" t="s">
        <v>17</v>
      </c>
      <c r="E6">
        <v>3446</v>
      </c>
      <c r="F6">
        <v>9.3529996871948242</v>
      </c>
      <c r="G6" s="67">
        <v>45666.435416666667</v>
      </c>
      <c r="H6" s="67">
        <v>45666.445138888892</v>
      </c>
      <c r="I6">
        <v>0.21666666666666667</v>
      </c>
      <c r="J6">
        <v>0.6333333333333333</v>
      </c>
    </row>
    <row r="7" spans="1:10">
      <c r="A7" t="s">
        <v>17</v>
      </c>
      <c r="B7">
        <v>3446</v>
      </c>
      <c r="C7" t="s">
        <v>528</v>
      </c>
      <c r="D7" t="s">
        <v>419</v>
      </c>
      <c r="E7">
        <v>3451</v>
      </c>
      <c r="F7">
        <v>5.4000000953674316</v>
      </c>
      <c r="G7" s="67">
        <v>45666.47152777778</v>
      </c>
      <c r="H7" s="67">
        <v>45666.479861111111</v>
      </c>
      <c r="I7">
        <v>0.18333333333333332</v>
      </c>
      <c r="J7">
        <v>0.1</v>
      </c>
    </row>
    <row r="8" spans="1:10">
      <c r="A8" t="s">
        <v>419</v>
      </c>
      <c r="B8">
        <v>3451</v>
      </c>
      <c r="C8" t="s">
        <v>528</v>
      </c>
      <c r="D8" t="s">
        <v>45</v>
      </c>
      <c r="E8">
        <v>3456</v>
      </c>
      <c r="F8">
        <v>5.0370001792907715</v>
      </c>
      <c r="G8" s="67">
        <v>45666.484722222223</v>
      </c>
      <c r="H8" s="67">
        <v>45666.490277777775</v>
      </c>
      <c r="I8">
        <v>0.11666666666666667</v>
      </c>
      <c r="J8">
        <v>0.75</v>
      </c>
    </row>
    <row r="9" spans="1:10">
      <c r="A9" t="s">
        <v>45</v>
      </c>
      <c r="B9">
        <v>3456</v>
      </c>
      <c r="C9" t="s">
        <v>528</v>
      </c>
      <c r="D9" t="s">
        <v>410</v>
      </c>
      <c r="E9">
        <v>3457</v>
      </c>
      <c r="F9">
        <v>1.0549999475479126</v>
      </c>
      <c r="G9" s="67">
        <v>45666.521527777775</v>
      </c>
      <c r="H9" s="67">
        <v>45666.525000000001</v>
      </c>
      <c r="I9">
        <v>6.6666666666666666E-2</v>
      </c>
      <c r="J9">
        <v>0.13333333333333333</v>
      </c>
    </row>
    <row r="10" spans="1:10">
      <c r="A10" t="s">
        <v>410</v>
      </c>
      <c r="B10">
        <v>3457</v>
      </c>
      <c r="C10" t="s">
        <v>528</v>
      </c>
      <c r="D10" t="s">
        <v>1101</v>
      </c>
      <c r="E10">
        <v>3458</v>
      </c>
      <c r="F10">
        <v>1.1720000505447388</v>
      </c>
      <c r="G10" s="67">
        <v>45666.530555555553</v>
      </c>
      <c r="H10" s="67">
        <v>45666.534722222219</v>
      </c>
      <c r="I10">
        <v>8.3333333333333329E-2</v>
      </c>
      <c r="J10">
        <v>1.6666666666666666E-2</v>
      </c>
    </row>
    <row r="11" spans="1:10">
      <c r="A11" t="s">
        <v>428</v>
      </c>
      <c r="B11">
        <v>3458</v>
      </c>
      <c r="C11" t="s">
        <v>528</v>
      </c>
      <c r="D11" t="s">
        <v>45</v>
      </c>
      <c r="E11">
        <v>3459</v>
      </c>
      <c r="F11">
        <v>1.2319999933242798</v>
      </c>
      <c r="G11" s="67">
        <v>45666.535416666666</v>
      </c>
      <c r="H11" s="67">
        <v>45666.539583333331</v>
      </c>
      <c r="I11">
        <v>8.3333333333333329E-2</v>
      </c>
      <c r="J11">
        <v>22.166666666666668</v>
      </c>
    </row>
    <row r="12" spans="1:10">
      <c r="A12" t="s">
        <v>45</v>
      </c>
      <c r="B12">
        <v>3459</v>
      </c>
      <c r="C12" t="s">
        <v>528</v>
      </c>
      <c r="D12" t="s">
        <v>506</v>
      </c>
      <c r="E12">
        <v>3461</v>
      </c>
      <c r="F12">
        <v>1.3630000352859497</v>
      </c>
      <c r="G12" s="67">
        <v>45667.463888888888</v>
      </c>
      <c r="H12" s="67">
        <v>45667.467361111114</v>
      </c>
      <c r="I12">
        <v>8.3333333333333329E-2</v>
      </c>
      <c r="J12">
        <v>0.11666666666666667</v>
      </c>
    </row>
    <row r="13" spans="1:10">
      <c r="A13" t="s">
        <v>506</v>
      </c>
      <c r="B13">
        <v>3461</v>
      </c>
      <c r="C13" t="s">
        <v>528</v>
      </c>
      <c r="D13" t="s">
        <v>45</v>
      </c>
      <c r="E13">
        <v>3462</v>
      </c>
      <c r="F13">
        <v>1.4670000076293945</v>
      </c>
      <c r="G13" s="67">
        <v>45667.472916666666</v>
      </c>
      <c r="H13" s="67">
        <v>45667.476388888892</v>
      </c>
      <c r="I13">
        <v>8.3333333333333329E-2</v>
      </c>
      <c r="J13">
        <v>70.25</v>
      </c>
    </row>
    <row r="14" spans="1:10">
      <c r="A14" t="s">
        <v>17</v>
      </c>
      <c r="B14">
        <v>3462</v>
      </c>
      <c r="C14" t="s">
        <v>528</v>
      </c>
      <c r="D14" t="s">
        <v>1689</v>
      </c>
      <c r="E14">
        <v>3467</v>
      </c>
      <c r="F14">
        <v>4.6830000877380371</v>
      </c>
      <c r="G14" s="67">
        <v>45670.40347222222</v>
      </c>
      <c r="H14" s="67">
        <v>45670.410416666666</v>
      </c>
      <c r="I14">
        <v>0.16666666666666666</v>
      </c>
      <c r="J14">
        <v>1.6666666666666666E-2</v>
      </c>
    </row>
    <row r="15" spans="1:10">
      <c r="A15" t="s">
        <v>1689</v>
      </c>
      <c r="B15">
        <v>3467</v>
      </c>
      <c r="C15" t="s">
        <v>528</v>
      </c>
      <c r="D15" t="s">
        <v>17</v>
      </c>
      <c r="E15">
        <v>3471</v>
      </c>
      <c r="F15">
        <v>4.0749998092651367</v>
      </c>
      <c r="G15" s="67">
        <v>45670.411805555559</v>
      </c>
      <c r="H15" s="67">
        <v>45670.419444444444</v>
      </c>
      <c r="I15">
        <v>0.16666666666666666</v>
      </c>
      <c r="J15">
        <v>1.2</v>
      </c>
    </row>
    <row r="16" spans="1:10">
      <c r="A16" t="s">
        <v>17</v>
      </c>
      <c r="B16">
        <v>3471</v>
      </c>
      <c r="C16" t="s">
        <v>528</v>
      </c>
      <c r="D16" t="s">
        <v>29</v>
      </c>
      <c r="E16">
        <v>3472</v>
      </c>
      <c r="F16">
        <v>1.1260000467300415</v>
      </c>
      <c r="G16" s="67">
        <v>45670.470138888886</v>
      </c>
      <c r="H16" s="67">
        <v>45670.473611111112</v>
      </c>
      <c r="I16">
        <v>8.3333333333333329E-2</v>
      </c>
      <c r="J16">
        <v>0.38333333333333336</v>
      </c>
    </row>
    <row r="17" spans="1:10">
      <c r="A17" t="s">
        <v>29</v>
      </c>
      <c r="B17">
        <v>3472</v>
      </c>
      <c r="C17" t="s">
        <v>528</v>
      </c>
      <c r="D17" t="s">
        <v>1693</v>
      </c>
      <c r="E17">
        <v>3475</v>
      </c>
      <c r="F17">
        <v>2.4240000247955322</v>
      </c>
      <c r="G17" s="67">
        <v>45670.489583333336</v>
      </c>
      <c r="H17" s="67">
        <v>45670.495833333334</v>
      </c>
      <c r="I17">
        <v>0.13333333333333333</v>
      </c>
      <c r="J17">
        <v>0.05</v>
      </c>
    </row>
    <row r="18" spans="1:10">
      <c r="A18" t="s">
        <v>1693</v>
      </c>
      <c r="B18">
        <v>3475</v>
      </c>
      <c r="C18" t="s">
        <v>528</v>
      </c>
      <c r="D18" t="s">
        <v>17</v>
      </c>
      <c r="E18">
        <v>3478</v>
      </c>
      <c r="F18">
        <v>3.6310000419616699</v>
      </c>
      <c r="G18" s="67">
        <v>45670.498611111114</v>
      </c>
      <c r="H18" s="67">
        <v>45670.505555555559</v>
      </c>
      <c r="I18">
        <v>0.16666666666666666</v>
      </c>
      <c r="J18">
        <v>0.11666666666666667</v>
      </c>
    </row>
    <row r="19" spans="1:10">
      <c r="A19" t="s">
        <v>17</v>
      </c>
      <c r="B19">
        <v>3478</v>
      </c>
      <c r="C19" t="s">
        <v>528</v>
      </c>
      <c r="D19" t="s">
        <v>390</v>
      </c>
      <c r="E19">
        <v>3481</v>
      </c>
      <c r="F19">
        <v>2.377000093460083</v>
      </c>
      <c r="G19" s="67">
        <v>45670.510416666664</v>
      </c>
      <c r="H19" s="67">
        <v>45670.517361111109</v>
      </c>
      <c r="I19">
        <v>0.15</v>
      </c>
      <c r="J19">
        <v>0.2</v>
      </c>
    </row>
    <row r="20" spans="1:10">
      <c r="A20" t="s">
        <v>390</v>
      </c>
      <c r="B20">
        <v>3481</v>
      </c>
      <c r="C20" t="s">
        <v>528</v>
      </c>
      <c r="D20" t="s">
        <v>17</v>
      </c>
      <c r="E20">
        <v>3483</v>
      </c>
      <c r="F20">
        <v>2.4200000762939453</v>
      </c>
      <c r="G20" s="67">
        <v>45670.525694444441</v>
      </c>
      <c r="H20" s="67">
        <v>45670.531944444447</v>
      </c>
      <c r="I20">
        <v>0.15</v>
      </c>
      <c r="J20">
        <v>1.0166666666666666</v>
      </c>
    </row>
    <row r="21" spans="1:10">
      <c r="A21" t="s">
        <v>17</v>
      </c>
      <c r="B21">
        <v>3483</v>
      </c>
      <c r="C21" t="s">
        <v>528</v>
      </c>
      <c r="D21" t="s">
        <v>1465</v>
      </c>
      <c r="E21">
        <v>3487</v>
      </c>
      <c r="F21">
        <v>4.2919998168945313</v>
      </c>
      <c r="G21" s="67">
        <v>45670.574999999997</v>
      </c>
      <c r="H21" s="67">
        <v>45670.583333333336</v>
      </c>
      <c r="I21">
        <v>0.18333333333333332</v>
      </c>
      <c r="J21">
        <v>0.3</v>
      </c>
    </row>
    <row r="22" spans="1:10">
      <c r="A22" t="s">
        <v>1465</v>
      </c>
      <c r="B22">
        <v>3487</v>
      </c>
      <c r="C22" t="s">
        <v>528</v>
      </c>
      <c r="D22" t="s">
        <v>17</v>
      </c>
      <c r="E22">
        <v>3492</v>
      </c>
      <c r="F22">
        <v>4.4619998931884766</v>
      </c>
      <c r="G22" s="67">
        <v>45670.595833333333</v>
      </c>
      <c r="H22" s="67">
        <v>45670.604166666664</v>
      </c>
      <c r="I22">
        <v>0.18333333333333332</v>
      </c>
      <c r="J22">
        <v>67.566666666666663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FE4A92DA2ED6C47A7B042EB3CEC9F9B" ma:contentTypeVersion="8" ma:contentTypeDescription="Luo uusi asiakirja." ma:contentTypeScope="" ma:versionID="615e688ee8d35de34dfa9d4a9e3484b6">
  <xsd:schema xmlns:xsd="http://www.w3.org/2001/XMLSchema" xmlns:xs="http://www.w3.org/2001/XMLSchema" xmlns:p="http://schemas.microsoft.com/office/2006/metadata/properties" xmlns:ns2="84c666d6-2a16-4d16-a74a-b4890f7b2d73" targetNamespace="http://schemas.microsoft.com/office/2006/metadata/properties" ma:root="true" ma:fieldsID="d1c5809ebe5890d47c3582f62c9c0b69" ns2:_="">
    <xsd:import namespace="84c666d6-2a16-4d16-a74a-b4890f7b2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666d6-2a16-4d16-a74a-b4890f7b2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F4E73-04D1-463C-A5A4-6C3806C6A6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5A9BC8-EA57-4DFF-9B7D-CA0335941A67}">
  <ds:schemaRefs>
    <ds:schemaRef ds:uri="84c666d6-2a16-4d16-a74a-b4890f7b2d73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11E457-2625-4D30-91AB-C6EC0F877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666d6-2a16-4d16-a74a-b4890f7b2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23</vt:lpstr>
      <vt:lpstr>24</vt:lpstr>
      <vt:lpstr>25</vt:lpstr>
      <vt:lpstr>ModifiedTransit</vt:lpstr>
      <vt:lpstr>Sheet2</vt:lpstr>
      <vt:lpstr>'23'!__bookmark_1</vt:lpstr>
      <vt:lpstr>'25'!__bookmark_1</vt:lpstr>
      <vt:lpstr>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Mika Vainio</cp:lastModifiedBy>
  <cp:revision/>
  <dcterms:created xsi:type="dcterms:W3CDTF">2025-02-26T11:00:11Z</dcterms:created>
  <dcterms:modified xsi:type="dcterms:W3CDTF">2025-12-15T14:16:42Z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0x010100CFE4A92DA2ED6C47A7B042EB3CEC9F9B</vt:lpwstr>
  </property>
</Properties>
</file>